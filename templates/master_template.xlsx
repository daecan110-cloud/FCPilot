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"/>
    <numFmt numFmtId="165" formatCode="m/d"/>
  </numFmts>
  <fonts count="27">
    <font>
      <name val="Arial"/>
      <color rgb="FF000000"/>
      <sz val="10"/>
      <scheme val="minor"/>
    </font>
    <font>
      <name val="Roboto Mono"/>
      <b val="1"/>
      <color rgb="FF1F3864"/>
      <sz val="13"/>
    </font>
    <font>
      <name val="Roboto Mono"/>
      <color theme="1"/>
    </font>
    <font>
      <name val="Malgun Gothic"/>
      <b val="1"/>
      <color rgb="FF1F2D3D"/>
      <sz val="9"/>
    </font>
    <font/>
    <font>
      <name val="Malgun Gothic"/>
      <b val="1"/>
      <color rgb="FF1F3864"/>
      <sz val="12"/>
    </font>
    <font>
      <name val="Roboto Mono"/>
      <b val="1"/>
      <color theme="1"/>
    </font>
    <font>
      <name val="Comic Sans MS"/>
      <color theme="1"/>
    </font>
    <font>
      <name val="Roboto Mono"/>
      <color rgb="FF1F2D3D"/>
      <sz val="9"/>
    </font>
    <font>
      <name val="Malgun Gothic"/>
      <b val="1"/>
      <color rgb="FFFFFFFF"/>
      <sz val="11"/>
    </font>
    <font>
      <name val="Malgun Gothic"/>
      <b val="1"/>
      <color rgb="FFFFFFFF"/>
      <sz val="9"/>
    </font>
    <font>
      <name val="Malgun Gothic"/>
      <b val="1"/>
      <color rgb="FF595959"/>
      <sz val="8"/>
    </font>
    <font>
      <name val="Malgun Gothic"/>
      <b val="1"/>
      <color rgb="FF375623"/>
      <sz val="8"/>
    </font>
    <font>
      <name val="Malgun Gothic"/>
      <b val="1"/>
      <color rgb="FF7F6000"/>
      <sz val="8"/>
    </font>
    <font>
      <name val="Malgun Gothic"/>
      <b val="1"/>
      <color rgb="FFC00000"/>
      <sz val="8"/>
    </font>
    <font>
      <name val="Malgun Gothic"/>
      <i val="1"/>
      <color rgb="FF7F6000"/>
      <sz val="8"/>
    </font>
    <font>
      <name val="Malgun Gothic"/>
      <b val="1"/>
      <color rgb="FFFFFFFF"/>
      <sz val="8"/>
    </font>
    <font>
      <name val="Malgun Gothic"/>
      <color rgb="FF375623"/>
      <sz val="8"/>
    </font>
    <font>
      <name val="Malgun Gothic"/>
      <color rgb="FF1F2D3D"/>
      <sz val="8"/>
    </font>
    <font>
      <name val="Malgun Gothic"/>
      <color rgb="FF7F6000"/>
      <sz val="8"/>
    </font>
    <font>
      <name val="Arial"/>
      <color rgb="FF000000"/>
      <sz val="10"/>
    </font>
    <font>
      <name val="Malgun Gothic"/>
      <b val="1"/>
      <color rgb="FFFFFFFF"/>
      <sz val="13"/>
    </font>
    <font>
      <name val="Malgun Gothic"/>
      <color rgb="FF1F2D3D"/>
      <sz val="9"/>
    </font>
    <font>
      <name val="Malgun Gothic"/>
      <color rgb="FF1F3864"/>
      <sz val="8"/>
    </font>
    <font>
      <name val="Malgun Gothic"/>
      <b val="1"/>
      <color rgb="FF1F2D3D"/>
      <sz val="8"/>
    </font>
    <font>
      <name val="Malgun Gothic"/>
      <color rgb="FF595959"/>
      <sz val="8"/>
    </font>
    <font>
      <name val="Malgun Gothic"/>
      <i val="1"/>
      <color rgb="FF595959"/>
      <sz val="8"/>
    </font>
  </fonts>
  <fills count="2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</fills>
  <borders count="38">
    <border/>
    <border>
      <left style="thin">
        <color rgb="FFBFBFBF"/>
      </left>
      <top style="thin">
        <color rgb="FFBFBFBF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BFBFBF"/>
      </left>
      <bottom style="thin">
        <color rgb="FFFFFFFF"/>
      </bottom>
    </border>
    <border>
      <left style="medium">
        <color rgb="FF1F3864"/>
      </left>
      <top style="medium">
        <color rgb="FF1F3864"/>
      </top>
      <bottom style="medium">
        <color rgb="FF1F3864"/>
      </bottom>
    </border>
    <border>
      <top style="medium">
        <color rgb="FF1F3864"/>
      </top>
      <bottom style="medium">
        <color rgb="FF1F3864"/>
      </bottom>
    </border>
    <border>
      <right style="medium">
        <color rgb="FF1F3864"/>
      </right>
      <top style="medium">
        <color rgb="FF1F3864"/>
      </top>
      <bottom style="medium">
        <color rgb="FF1F3864"/>
      </bottom>
    </border>
    <border>
      <left style="thin">
        <color rgb="FF1F3864"/>
      </left>
      <top style="thin">
        <color rgb="FF1F3864"/>
      </top>
      <bottom style="thin">
        <color rgb="FF1F3864"/>
      </bottom>
    </border>
    <border>
      <top style="thin">
        <color rgb="FF1F3864"/>
      </top>
      <bottom style="thin">
        <color rgb="FF1F3864"/>
      </bottom>
    </border>
    <border>
      <right style="thin">
        <color rgb="FF1F3864"/>
      </right>
      <top style="thin">
        <color rgb="FF1F3864"/>
      </top>
      <bottom style="thin">
        <color rgb="FF1F3864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</border>
    <border>
      <left style="medium">
        <color rgb="FF1F3864"/>
      </left>
      <top style="thin">
        <color rgb="FFBFBFBF"/>
      </top>
      <bottom style="thin">
        <color rgb="FFBFBFBF"/>
      </bottom>
    </border>
    <border>
      <right style="medium">
        <color rgb="FF1F3864"/>
      </right>
      <top style="thin">
        <color rgb="FFBFBFBF"/>
      </top>
      <bottom style="thin">
        <color rgb="FFBFBFBF"/>
      </bottom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</border>
    <border>
      <left style="thin">
        <color rgb="FF4472C4"/>
      </left>
      <top style="thin">
        <color rgb="FF4472C4"/>
      </top>
      <bottom style="thin">
        <color rgb="FF4472C4"/>
      </bottom>
    </border>
    <border>
      <top style="thin">
        <color rgb="FF4472C4"/>
      </top>
      <bottom style="thin">
        <color rgb="FF4472C4"/>
      </bottom>
    </border>
    <border>
      <right style="thin">
        <color rgb="FF4472C4"/>
      </right>
      <top style="thin">
        <color rgb="FF4472C4"/>
      </top>
      <bottom style="thin">
        <color rgb="FF4472C4"/>
      </bottom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</border>
    <border>
      <top style="medium">
        <color rgb="FF1F3864"/>
      </top>
    </border>
    <border>
      <right style="medium">
        <color rgb="FF1F3864"/>
      </right>
      <top style="medium">
        <color rgb="FF1F3864"/>
      </top>
    </border>
    <border>
      <top style="thin">
        <color rgb="FF1F3864"/>
      </top>
    </border>
    <border>
      <right style="thin">
        <color rgb="FF1F3864"/>
      </right>
      <top style="thin">
        <color rgb="FF1F3864"/>
      </top>
    </border>
    <border>
      <top style="thin">
        <color rgb="FFBFBFBF"/>
      </top>
    </border>
    <border>
      <right style="medium">
        <color rgb="FF1F3864"/>
      </right>
      <top style="thin">
        <color rgb="FFBFBFBF"/>
      </top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</border>
    <border>
      <top style="thin">
        <color rgb="FF4472C4"/>
      </top>
    </border>
    <border>
      <right style="thin">
        <color rgb="FF4472C4"/>
      </right>
      <top style="thin">
        <color rgb="FF4472C4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FFFFFF"/>
      </bottom>
    </border>
    <border>
      <left style="thin">
        <color rgb="FF000000"/>
      </left>
    </border>
  </borders>
  <cellStyleXfs count="1">
    <xf numFmtId="0" fontId="0" fillId="0" borderId="0"/>
  </cellStyleXfs>
  <cellXfs count="141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2" borderId="2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6" pivotButton="0" quotePrefix="0" xfId="0"/>
    <xf numFmtId="3" fontId="3" fillId="3" borderId="3" applyAlignment="1" pivotButton="0" quotePrefix="0" xfId="0">
      <alignment horizontal="center" vertical="center" wrapText="1"/>
    </xf>
    <xf numFmtId="3" fontId="3" fillId="3" borderId="3" applyAlignment="1" pivotButton="0" quotePrefix="0" xfId="0">
      <alignment horizontal="center" vertical="center"/>
    </xf>
    <xf numFmtId="164" fontId="3" fillId="3" borderId="3" applyAlignment="1" pivotButton="0" quotePrefix="0" xfId="0">
      <alignment horizontal="center" vertical="center"/>
    </xf>
    <xf numFmtId="0" fontId="4" fillId="0" borderId="7" pivotButton="0" quotePrefix="0" xfId="0"/>
    <xf numFmtId="3" fontId="3" fillId="4" borderId="3" applyAlignment="1" pivotButton="0" quotePrefix="0" xfId="0">
      <alignment horizontal="center" vertical="center" wrapText="1"/>
    </xf>
    <xf numFmtId="3" fontId="3" fillId="4" borderId="3" applyAlignment="1" pivotButton="0" quotePrefix="0" xfId="0">
      <alignment horizontal="center" vertical="center"/>
    </xf>
    <xf numFmtId="165" fontId="3" fillId="4" borderId="3" applyAlignment="1" pivotButton="0" quotePrefix="0" xfId="0">
      <alignment horizontal="center" vertical="center"/>
    </xf>
    <xf numFmtId="164" fontId="3" fillId="4" borderId="3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 wrapText="1"/>
    </xf>
    <xf numFmtId="3" fontId="6" fillId="5" borderId="2" applyAlignment="1" pivotButton="0" quotePrefix="0" xfId="0">
      <alignment horizontal="center" vertical="center" wrapText="1"/>
    </xf>
    <xf numFmtId="3" fontId="6" fillId="6" borderId="3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3" fontId="6" fillId="8" borderId="3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/>
    </xf>
    <xf numFmtId="164" fontId="3" fillId="7" borderId="3" applyAlignment="1" pivotButton="0" quotePrefix="0" xfId="0">
      <alignment horizontal="center" vertical="center"/>
    </xf>
    <xf numFmtId="3" fontId="6" fillId="2" borderId="3" applyAlignment="1" pivotButton="0" quotePrefix="0" xfId="0">
      <alignment horizontal="center" vertical="center" wrapText="1"/>
    </xf>
    <xf numFmtId="3" fontId="7" fillId="2" borderId="3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3" fontId="6" fillId="10" borderId="3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/>
    </xf>
    <xf numFmtId="164" fontId="3" fillId="9" borderId="3" applyAlignment="1" pivotButton="0" quotePrefix="0" xfId="0">
      <alignment horizontal="center" vertical="center"/>
    </xf>
    <xf numFmtId="3" fontId="6" fillId="11" borderId="3" applyAlignment="1" pivotButton="0" quotePrefix="0" xfId="0">
      <alignment horizontal="center" vertical="center" wrapText="1"/>
    </xf>
    <xf numFmtId="3" fontId="7" fillId="11" borderId="3" applyAlignment="1" pivotButton="0" quotePrefix="0" xfId="0">
      <alignment horizontal="center" vertical="center"/>
    </xf>
    <xf numFmtId="3" fontId="6" fillId="12" borderId="3" applyAlignment="1" pivotButton="0" quotePrefix="0" xfId="0">
      <alignment horizontal="center" vertical="center" wrapText="1"/>
    </xf>
    <xf numFmtId="3" fontId="7" fillId="12" borderId="3" applyAlignment="1" pivotButton="0" quotePrefix="0" xfId="0">
      <alignment horizontal="center" vertical="center"/>
    </xf>
    <xf numFmtId="164" fontId="7" fillId="5" borderId="3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3" fontId="6" fillId="14" borderId="3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/>
    </xf>
    <xf numFmtId="164" fontId="3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6" fillId="15" borderId="3" applyAlignment="1" pivotButton="0" quotePrefix="0" xfId="0">
      <alignment horizontal="center" vertical="center" wrapText="1"/>
    </xf>
    <xf numFmtId="164" fontId="7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6" fillId="15" borderId="0" applyAlignment="1" pivotButton="0" quotePrefix="0" xfId="0">
      <alignment horizontal="center" vertical="center" wrapText="1"/>
    </xf>
    <xf numFmtId="164" fontId="7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4" fillId="0" borderId="9" pivotButton="0" quotePrefix="0" xfId="0"/>
    <xf numFmtId="0" fontId="4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4" fillId="0" borderId="12" pivotButton="0" quotePrefix="0" xfId="0"/>
    <xf numFmtId="0" fontId="4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4" fillId="0" borderId="16" pivotButton="0" quotePrefix="0" xfId="0"/>
    <xf numFmtId="0" fontId="4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10" fillId="17" borderId="11" applyAlignment="1" pivotButton="0" quotePrefix="0" xfId="0">
      <alignment horizontal="center" vertical="center" wrapText="1"/>
    </xf>
    <xf numFmtId="0" fontId="3" fillId="20" borderId="19" applyAlignment="1" pivotButton="0" quotePrefix="0" xfId="0">
      <alignment horizontal="center" vertical="center" wrapText="1"/>
    </xf>
    <xf numFmtId="0" fontId="4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3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3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3" fillId="22" borderId="21" applyAlignment="1" pivotButton="0" quotePrefix="0" xfId="0">
      <alignment horizontal="center" vertical="center" wrapText="1"/>
    </xf>
    <xf numFmtId="0" fontId="3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3" fillId="23" borderId="21" applyAlignment="1" pivotButton="0" quotePrefix="0" xfId="0">
      <alignment horizontal="center" vertical="center" wrapText="1"/>
    </xf>
    <xf numFmtId="0" fontId="3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3" fillId="24" borderId="21" applyAlignment="1" pivotButton="0" quotePrefix="0" xfId="0">
      <alignment horizontal="center" vertical="center" wrapText="1"/>
    </xf>
    <xf numFmtId="0" fontId="3" fillId="21" borderId="21" applyAlignment="1" pivotButton="0" quotePrefix="0" xfId="0">
      <alignment horizontal="center" vertical="center" wrapText="1"/>
    </xf>
    <xf numFmtId="0" fontId="22" fillId="21" borderId="19" applyAlignment="1" pivotButton="0" quotePrefix="0" xfId="0">
      <alignment horizontal="center" vertical="center" wrapText="1"/>
    </xf>
    <xf numFmtId="0" fontId="3" fillId="21" borderId="19" applyAlignment="1" pivotButton="0" quotePrefix="0" xfId="0">
      <alignment horizontal="center" vertical="center" wrapText="1"/>
    </xf>
    <xf numFmtId="0" fontId="3" fillId="9" borderId="21" applyAlignment="1" pivotButton="0" quotePrefix="0" xfId="0">
      <alignment horizontal="center" vertical="center" wrapText="1"/>
    </xf>
    <xf numFmtId="0" fontId="22" fillId="7" borderId="21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center" vertical="center" wrapText="1"/>
    </xf>
    <xf numFmtId="0" fontId="22" fillId="15" borderId="19" applyAlignment="1" pivotButton="0" quotePrefix="0" xfId="0">
      <alignment horizontal="center" vertical="center" wrapText="1"/>
    </xf>
    <xf numFmtId="0" fontId="22" fillId="15" borderId="21" applyAlignment="1" pivotButton="0" quotePrefix="0" xfId="0">
      <alignment horizontal="center" vertical="center" wrapText="1"/>
    </xf>
    <xf numFmtId="0" fontId="22" fillId="15" borderId="19" applyAlignment="1" pivotButton="0" quotePrefix="0" xfId="0">
      <alignment horizontal="left" vertical="center" wrapText="1"/>
    </xf>
    <xf numFmtId="0" fontId="3" fillId="15" borderId="21" applyAlignment="1" pivotButton="0" quotePrefix="0" xfId="0">
      <alignment horizontal="center" vertical="center" wrapText="1"/>
    </xf>
    <xf numFmtId="0" fontId="23" fillId="23" borderId="22" applyAlignment="1" pivotButton="0" quotePrefix="0" xfId="0">
      <alignment horizontal="left" vertical="center" wrapText="1"/>
    </xf>
    <xf numFmtId="0" fontId="4" fillId="0" borderId="23" pivotButton="0" quotePrefix="0" xfId="0"/>
    <xf numFmtId="0" fontId="4" fillId="0" borderId="24" pivotButton="0" quotePrefix="0" xfId="0"/>
    <xf numFmtId="0" fontId="18" fillId="18" borderId="14" applyAlignment="1" pivotButton="0" quotePrefix="0" xfId="0">
      <alignment horizontal="center" vertical="center" wrapText="1"/>
    </xf>
    <xf numFmtId="0" fontId="24" fillId="21" borderId="14" applyAlignment="1" pivotButton="0" quotePrefix="0" xfId="0">
      <alignment horizontal="center" vertical="center" wrapText="1"/>
    </xf>
    <xf numFmtId="0" fontId="24" fillId="21" borderId="15" applyAlignment="1" pivotButton="0" quotePrefix="0" xfId="0">
      <alignment horizontal="center" vertical="center" wrapText="1"/>
    </xf>
    <xf numFmtId="0" fontId="25" fillId="18" borderId="14" applyAlignment="1" pivotButton="0" quotePrefix="0" xfId="0">
      <alignment horizontal="center" vertical="center" wrapText="1"/>
    </xf>
    <xf numFmtId="0" fontId="9" fillId="16" borderId="8" applyAlignment="1" pivotButton="0" quotePrefix="0" xfId="0">
      <alignment horizontal="center" vertical="center" wrapText="1"/>
    </xf>
    <xf numFmtId="0" fontId="18" fillId="20" borderId="14" applyAlignment="1" pivotButton="0" quotePrefix="0" xfId="0">
      <alignment horizontal="center" vertical="center" wrapText="1"/>
    </xf>
    <xf numFmtId="0" fontId="18" fillId="7" borderId="14" applyAlignment="1" pivotButton="0" quotePrefix="0" xfId="0">
      <alignment horizontal="center" vertical="center" wrapText="1"/>
    </xf>
    <xf numFmtId="0" fontId="18" fillId="2" borderId="14" applyAlignment="1" pivotButton="0" quotePrefix="0" xfId="0">
      <alignment horizontal="center" vertical="center" wrapText="1"/>
    </xf>
    <xf numFmtId="0" fontId="26" fillId="18" borderId="15" applyAlignment="1" pivotButton="0" quotePrefix="0" xfId="0">
      <alignment horizontal="left" vertical="center"/>
    </xf>
    <xf numFmtId="0" fontId="0" fillId="0" borderId="0" pivotButton="0" quotePrefix="0" xfId="0"/>
    <xf numFmtId="3" fontId="3" fillId="0" borderId="3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5" fillId="0" borderId="3" applyAlignment="1" pivotButton="0" quotePrefix="0" xfId="0">
      <alignment horizontal="center" vertical="center" wrapText="1"/>
    </xf>
    <xf numFmtId="3" fontId="6" fillId="5" borderId="3" applyAlignment="1" pivotButton="0" quotePrefix="0" xfId="0">
      <alignment horizontal="center" vertical="center" wrapText="1"/>
    </xf>
    <xf numFmtId="3" fontId="6" fillId="7" borderId="3" applyAlignment="1" pivotButton="0" quotePrefix="0" xfId="0">
      <alignment horizontal="center" vertical="center" wrapText="1"/>
    </xf>
    <xf numFmtId="3" fontId="6" fillId="9" borderId="3" applyAlignment="1" pivotButton="0" quotePrefix="0" xfId="0">
      <alignment horizontal="center" vertical="center" wrapText="1"/>
    </xf>
    <xf numFmtId="3" fontId="6" fillId="13" borderId="3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 vertical="center"/>
    </xf>
    <xf numFmtId="0" fontId="9" fillId="16" borderId="25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21" fillId="16" borderId="25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22" fillId="21" borderId="21" applyAlignment="1" pivotButton="0" quotePrefix="0" xfId="0">
      <alignment horizontal="center" vertical="center" wrapText="1"/>
    </xf>
    <xf numFmtId="0" fontId="22" fillId="20" borderId="21" applyAlignment="1" pivotButton="0" quotePrefix="0" xfId="0">
      <alignment horizontal="center" vertical="center" wrapText="1"/>
    </xf>
    <xf numFmtId="0" fontId="22" fillId="15" borderId="21" applyAlignment="1" pivotButton="0" quotePrefix="0" xfId="0">
      <alignment horizontal="left" vertical="center" wrapText="1"/>
    </xf>
    <xf numFmtId="0" fontId="23" fillId="23" borderId="32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9" fillId="16" borderId="25" applyAlignment="1" pivotButton="0" quotePrefix="0" xfId="0">
      <alignment horizontal="center" vertical="center" wrapText="1"/>
    </xf>
    <xf numFmtId="0" fontId="26" fillId="18" borderId="14" applyAlignment="1" pivotButton="0" quotePrefix="0" xfId="0">
      <alignment horizontal="left" vertic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 defaultTableStyle="TableStyleMedium9" defaultPivotStyle="PivotStyleLight16">
    <tableStyle name="보장분석표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7:J64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108" min="1" max="1"/>
    <col width="15.88" customWidth="1" style="108" min="2" max="2"/>
    <col width="19.5" customWidth="1" style="108" min="3" max="3"/>
    <col width="15.13" customWidth="1" style="108" min="4" max="10"/>
    <col width="17.88" customWidth="1" style="108" min="11" max="11"/>
  </cols>
  <sheetData>
    <row r="1" ht="15.75" customHeight="1" s="108">
      <c r="A1" s="1" t="inlineStr">
        <is>
          <t xml:space="preserve"> 님( 남/여 -  세)을 위한 보장분석</t>
        </is>
      </c>
      <c r="K1" s="1" t="inlineStr">
        <is>
          <t>단위(만원)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.75" customHeight="1" s="108">
      <c r="A2" s="109" t="n"/>
      <c r="B2" s="5" t="inlineStr">
        <is>
          <t>보장내용</t>
        </is>
      </c>
      <c r="C2" s="5" t="inlineStr">
        <is>
          <t>가입회사</t>
        </is>
      </c>
      <c r="D2" s="6" t="n"/>
      <c r="E2" s="6" t="n"/>
      <c r="F2" s="6" t="n"/>
      <c r="G2" s="6" t="n"/>
      <c r="H2" s="6" t="n"/>
      <c r="I2" s="6" t="n"/>
      <c r="J2" s="6" t="n"/>
      <c r="K2" s="5" t="inlineStr">
        <is>
          <t>합계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10" t="n"/>
      <c r="B3" s="111" t="n"/>
      <c r="C3" s="5" t="inlineStr">
        <is>
          <t>상품명</t>
        </is>
      </c>
      <c r="D3" s="6" t="n"/>
      <c r="E3" s="6" t="n"/>
      <c r="F3" s="6" t="n"/>
      <c r="G3" s="6" t="n"/>
      <c r="H3" s="6" t="n"/>
      <c r="I3" s="6" t="n"/>
      <c r="J3" s="6" t="n"/>
      <c r="K3" s="111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08">
      <c r="A4" s="110" t="n"/>
      <c r="B4" s="112" t="n"/>
      <c r="C4" s="5" t="inlineStr">
        <is>
          <t>보장나이</t>
        </is>
      </c>
      <c r="D4" s="6" t="n"/>
      <c r="E4" s="6" t="n"/>
      <c r="F4" s="6" t="n"/>
      <c r="G4" s="6" t="n"/>
      <c r="H4" s="6" t="n"/>
      <c r="I4" s="6" t="n"/>
      <c r="J4" s="6" t="n"/>
      <c r="K4" s="11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.75" customHeight="1" s="108">
      <c r="A5" s="110" t="n"/>
      <c r="B5" s="10" t="inlineStr">
        <is>
          <t>월보험료</t>
        </is>
      </c>
      <c r="C5" s="10" t="n"/>
      <c r="D5" s="11" t="n"/>
      <c r="E5" s="11" t="n"/>
      <c r="F5" s="11" t="n"/>
      <c r="G5" s="11" t="n"/>
      <c r="H5" s="11" t="n"/>
      <c r="I5" s="11" t="n"/>
      <c r="J5" s="11" t="n"/>
      <c r="K5" s="12">
        <f>sum(D5:J5)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108">
      <c r="A6" s="113" t="n"/>
      <c r="B6" s="14" t="inlineStr">
        <is>
          <t>가입시기</t>
        </is>
      </c>
      <c r="C6" s="14" t="n"/>
      <c r="D6" s="15" t="n"/>
      <c r="E6" s="15" t="n"/>
      <c r="F6" s="15" t="n"/>
      <c r="G6" s="15" t="n"/>
      <c r="H6" s="15" t="n"/>
      <c r="I6" s="15" t="n"/>
      <c r="J6" s="16" t="n"/>
      <c r="K6" s="17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.75" customHeight="1" s="108">
      <c r="A7" s="114" t="n">
        <v>1</v>
      </c>
      <c r="B7" s="115" t="inlineStr">
        <is>
          <t>사망보장</t>
        </is>
      </c>
      <c r="C7" s="20" t="inlineStr">
        <is>
          <t>일반사망</t>
        </is>
      </c>
      <c r="D7" s="21" t="n"/>
      <c r="E7" s="21" t="n"/>
      <c r="F7" s="21" t="n"/>
      <c r="G7" s="21" t="n"/>
      <c r="H7" s="21" t="n"/>
      <c r="I7" s="21" t="n"/>
      <c r="J7" s="21" t="n"/>
      <c r="K7" s="22">
        <f>SUM(D7:J7)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.75" customHeight="1" s="108">
      <c r="A8" s="111" t="n"/>
      <c r="B8" s="111" t="n"/>
      <c r="C8" s="20" t="inlineStr">
        <is>
          <t>질병사망</t>
        </is>
      </c>
      <c r="D8" s="21" t="n"/>
      <c r="E8" s="21" t="n"/>
      <c r="F8" s="21" t="n"/>
      <c r="G8" s="21" t="n"/>
      <c r="H8" s="21" t="n"/>
      <c r="I8" s="21" t="n"/>
      <c r="J8" s="21" t="n"/>
      <c r="K8" s="22">
        <f>SUM(D8:J8)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.75" customHeight="1" s="108">
      <c r="A9" s="111" t="n"/>
      <c r="B9" s="111" t="n"/>
      <c r="C9" s="20" t="inlineStr">
        <is>
          <t>재해사망</t>
        </is>
      </c>
      <c r="D9" s="21" t="n"/>
      <c r="E9" s="21" t="n"/>
      <c r="F9" s="21" t="n"/>
      <c r="G9" s="21" t="n"/>
      <c r="H9" s="21" t="n"/>
      <c r="I9" s="21" t="n"/>
      <c r="J9" s="21" t="n"/>
      <c r="K9" s="22">
        <f>SUM(D9:J9)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08">
      <c r="A10" s="111" t="n"/>
      <c r="B10" s="111" t="n"/>
      <c r="C10" s="20" t="inlineStr">
        <is>
          <t>상해사망</t>
        </is>
      </c>
      <c r="D10" s="21" t="n"/>
      <c r="E10" s="21" t="n"/>
      <c r="F10" s="21" t="n"/>
      <c r="G10" s="21" t="n"/>
      <c r="H10" s="21" t="n"/>
      <c r="I10" s="21" t="n"/>
      <c r="J10" s="21" t="n"/>
      <c r="K10" s="22">
        <f>SUM(D10:J10)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.75" customHeight="1" s="108">
      <c r="A11" s="111" t="n"/>
      <c r="B11" s="112" t="n"/>
      <c r="C11" s="20" t="inlineStr">
        <is>
          <t>암사망</t>
        </is>
      </c>
      <c r="D11" s="21" t="n"/>
      <c r="E11" s="21" t="n"/>
      <c r="F11" s="21" t="n"/>
      <c r="G11" s="21" t="n"/>
      <c r="H11" s="21" t="n"/>
      <c r="I11" s="21" t="n"/>
      <c r="J11" s="21" t="n"/>
      <c r="K11" s="22">
        <f>SUM(D11:J11)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.75" customHeight="1" s="108">
      <c r="A12" s="111" t="n"/>
      <c r="B12" s="115" t="inlineStr">
        <is>
          <t>후유장해</t>
        </is>
      </c>
      <c r="C12" s="20" t="inlineStr">
        <is>
          <t>재해장해 최소</t>
        </is>
      </c>
      <c r="D12" s="21" t="n"/>
      <c r="E12" s="21" t="n"/>
      <c r="F12" s="21" t="n"/>
      <c r="G12" s="21" t="n"/>
      <c r="H12" s="21" t="n"/>
      <c r="I12" s="21" t="n"/>
      <c r="J12" s="21" t="n"/>
      <c r="K12" s="22">
        <f>SUM(D12:J12)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.75" customHeight="1" s="108">
      <c r="A13" s="111" t="n"/>
      <c r="B13" s="111" t="n"/>
      <c r="C13" s="20" t="inlineStr">
        <is>
          <t>재해장해 최대</t>
        </is>
      </c>
      <c r="D13" s="21" t="n"/>
      <c r="E13" s="21" t="n"/>
      <c r="F13" s="21" t="n"/>
      <c r="G13" s="21" t="n"/>
      <c r="H13" s="21" t="n"/>
      <c r="I13" s="21" t="n"/>
      <c r="J13" s="21" t="n"/>
      <c r="K13" s="22">
        <f>SUM(D13:J13)</f>
        <v/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08">
      <c r="A14" s="111" t="n"/>
      <c r="B14" s="111" t="n"/>
      <c r="C14" s="20" t="inlineStr">
        <is>
          <t>질병장해 최소</t>
        </is>
      </c>
      <c r="D14" s="21" t="n"/>
      <c r="E14" s="21" t="n"/>
      <c r="F14" s="21" t="n"/>
      <c r="G14" s="21" t="n"/>
      <c r="H14" s="21" t="n"/>
      <c r="I14" s="21" t="n"/>
      <c r="J14" s="21" t="n"/>
      <c r="K14" s="22">
        <f>SUM(D14:J14)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.75" customHeight="1" s="108">
      <c r="A15" s="112" t="n"/>
      <c r="B15" s="112" t="n"/>
      <c r="C15" s="20" t="inlineStr">
        <is>
          <t>질병장해 최대</t>
        </is>
      </c>
      <c r="D15" s="21" t="n"/>
      <c r="E15" s="21" t="n"/>
      <c r="F15" s="21" t="n"/>
      <c r="G15" s="21" t="n"/>
      <c r="H15" s="21" t="n"/>
      <c r="I15" s="21" t="n"/>
      <c r="J15" s="21" t="n"/>
      <c r="K15" s="22">
        <f>SUM(D15:J15)</f>
        <v/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.75" customHeight="1" s="108">
      <c r="A16" s="114" t="n">
        <v>2</v>
      </c>
      <c r="B16" s="116" t="inlineStr">
        <is>
          <t>암진단비</t>
        </is>
      </c>
      <c r="C16" s="24" t="inlineStr">
        <is>
          <t>일반암</t>
        </is>
      </c>
      <c r="D16" s="25" t="n"/>
      <c r="E16" s="25" t="n"/>
      <c r="F16" s="25" t="n"/>
      <c r="G16" s="25" t="n"/>
      <c r="H16" s="25" t="n"/>
      <c r="I16" s="25" t="n"/>
      <c r="J16" s="25" t="n"/>
      <c r="K16" s="26">
        <f>SUM(D16:J16)</f>
        <v/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 s="108">
      <c r="A17" s="111" t="n"/>
      <c r="B17" s="111" t="n"/>
      <c r="C17" s="24" t="inlineStr">
        <is>
          <t>남녀특정암</t>
        </is>
      </c>
      <c r="D17" s="25" t="n"/>
      <c r="E17" s="25" t="n"/>
      <c r="F17" s="25" t="n"/>
      <c r="G17" s="25" t="n"/>
      <c r="H17" s="25" t="n"/>
      <c r="I17" s="25" t="n"/>
      <c r="J17" s="25" t="n"/>
      <c r="K17" s="26">
        <f>SUM(D17:J17)</f>
        <v/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.75" customHeight="1" s="108">
      <c r="A18" s="111" t="n"/>
      <c r="B18" s="111" t="n"/>
      <c r="C18" s="24" t="inlineStr">
        <is>
          <t>소액암</t>
        </is>
      </c>
      <c r="D18" s="25" t="n"/>
      <c r="E18" s="25" t="n"/>
      <c r="F18" s="25" t="n"/>
      <c r="G18" s="25" t="n"/>
      <c r="H18" s="25" t="n"/>
      <c r="I18" s="25" t="n"/>
      <c r="J18" s="25" t="n"/>
      <c r="K18" s="26">
        <f>SUM(D18:J18)</f>
        <v/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.75" customHeight="1" s="108">
      <c r="A19" s="111" t="n"/>
      <c r="B19" s="112" t="n"/>
      <c r="C19" s="24" t="inlineStr">
        <is>
          <t>고액암</t>
        </is>
      </c>
      <c r="D19" s="25" t="n"/>
      <c r="E19" s="25" t="n"/>
      <c r="F19" s="25" t="n"/>
      <c r="G19" s="25" t="n"/>
      <c r="H19" s="25" t="n"/>
      <c r="I19" s="25" t="n"/>
      <c r="J19" s="25" t="n"/>
      <c r="K19" s="26">
        <f>SUM(D19:J19)</f>
        <v/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.75" customHeight="1" s="108">
      <c r="A20" s="111" t="n"/>
      <c r="B20" s="116" t="inlineStr">
        <is>
          <t>암치료비
수술비</t>
        </is>
      </c>
      <c r="C20" s="27" t="inlineStr">
        <is>
          <t>항암약물치료비</t>
        </is>
      </c>
      <c r="D20" s="28" t="n"/>
      <c r="E20" s="28" t="n"/>
      <c r="F20" s="28" t="n"/>
      <c r="G20" s="28" t="n"/>
      <c r="H20" s="28" t="n"/>
      <c r="I20" s="28" t="n"/>
      <c r="J20" s="28" t="n"/>
      <c r="K20" s="26">
        <f>SUM(D20:J20)</f>
        <v/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08">
      <c r="A21" s="111" t="n"/>
      <c r="B21" s="111" t="n"/>
      <c r="C21" s="27" t="inlineStr">
        <is>
          <t>표적항암약물치료비</t>
        </is>
      </c>
      <c r="D21" s="28" t="n"/>
      <c r="E21" s="28" t="n"/>
      <c r="F21" s="28" t="n"/>
      <c r="G21" s="28" t="n"/>
      <c r="H21" s="28" t="n"/>
      <c r="I21" s="28" t="n"/>
      <c r="J21" s="28" t="n"/>
      <c r="K21" s="26">
        <f>SUM(D21:J21)</f>
        <v/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08">
      <c r="A22" s="111" t="n"/>
      <c r="B22" s="111" t="n"/>
      <c r="C22" s="27" t="inlineStr">
        <is>
          <t>카티항암약물치료비</t>
        </is>
      </c>
      <c r="D22" s="28" t="n"/>
      <c r="E22" s="28" t="n"/>
      <c r="F22" s="28" t="n"/>
      <c r="G22" s="28" t="n"/>
      <c r="H22" s="28" t="n"/>
      <c r="I22" s="28" t="n"/>
      <c r="J22" s="28" t="n"/>
      <c r="K22" s="26">
        <f>SUM(D22:J22)</f>
        <v/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08">
      <c r="A23" s="111" t="n"/>
      <c r="B23" s="111" t="n"/>
      <c r="C23" s="27" t="inlineStr">
        <is>
          <t>항암방사선치료비</t>
        </is>
      </c>
      <c r="D23" s="28" t="n"/>
      <c r="E23" s="28" t="n"/>
      <c r="F23" s="28" t="n"/>
      <c r="G23" s="28" t="n"/>
      <c r="H23" s="28" t="n"/>
      <c r="I23" s="28" t="n"/>
      <c r="J23" s="28" t="n"/>
      <c r="K23" s="26">
        <f>SUM(D23:J23)</f>
        <v/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08">
      <c r="A24" s="111" t="n"/>
      <c r="B24" s="111" t="n"/>
      <c r="C24" s="27" t="inlineStr">
        <is>
          <t>항암세기조절방사선치료</t>
        </is>
      </c>
      <c r="D24" s="28" t="n"/>
      <c r="E24" s="28" t="n"/>
      <c r="F24" s="28" t="n"/>
      <c r="G24" s="28" t="n"/>
      <c r="H24" s="28" t="n"/>
      <c r="I24" s="28" t="n"/>
      <c r="J24" s="28" t="n"/>
      <c r="K24" s="26">
        <f>SUM(D24:J24)</f>
        <v/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08">
      <c r="A25" s="111" t="n"/>
      <c r="B25" s="111" t="n"/>
      <c r="C25" s="27" t="inlineStr">
        <is>
          <t>항암양성자방사선치료</t>
        </is>
      </c>
      <c r="D25" s="28" t="n"/>
      <c r="E25" s="28" t="n"/>
      <c r="F25" s="28" t="n"/>
      <c r="G25" s="28" t="n"/>
      <c r="H25" s="28" t="n"/>
      <c r="I25" s="28" t="n"/>
      <c r="J25" s="28" t="n"/>
      <c r="K25" s="26">
        <f>SUM(D25:J25)</f>
        <v/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08">
      <c r="A26" s="111" t="n"/>
      <c r="B26" s="111" t="n"/>
      <c r="C26" s="27" t="inlineStr">
        <is>
          <t>항암중입자방사선치료</t>
        </is>
      </c>
      <c r="D26" s="28" t="n"/>
      <c r="E26" s="28" t="n"/>
      <c r="F26" s="28" t="n"/>
      <c r="G26" s="28" t="n"/>
      <c r="H26" s="28" t="n"/>
      <c r="I26" s="28" t="n"/>
      <c r="J26" s="28" t="n"/>
      <c r="K26" s="26">
        <f>SUM(D26:J26)</f>
        <v/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08">
      <c r="A27" s="111" t="n"/>
      <c r="B27" s="111" t="n"/>
      <c r="C27" s="27" t="inlineStr">
        <is>
          <t>암수술비</t>
        </is>
      </c>
      <c r="D27" s="28" t="n"/>
      <c r="E27" s="28" t="n"/>
      <c r="F27" s="28" t="n"/>
      <c r="G27" s="28" t="n"/>
      <c r="H27" s="28" t="n"/>
      <c r="I27" s="28" t="n"/>
      <c r="J27" s="28" t="n"/>
      <c r="K27" s="26">
        <f>SUM(D27:J27)</f>
        <v/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08">
      <c r="A28" s="112" t="n"/>
      <c r="B28" s="112" t="n"/>
      <c r="C28" s="27" t="inlineStr">
        <is>
          <t>암로봇수술비</t>
        </is>
      </c>
      <c r="D28" s="28" t="n"/>
      <c r="E28" s="28" t="n"/>
      <c r="F28" s="28" t="n"/>
      <c r="G28" s="28" t="n"/>
      <c r="H28" s="28" t="n"/>
      <c r="I28" s="28" t="n"/>
      <c r="J28" s="28" t="n"/>
      <c r="K28" s="26">
        <f>SUM(D28:J28)</f>
        <v/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08">
      <c r="A29" s="114" t="n">
        <v>3</v>
      </c>
      <c r="B29" s="117" t="inlineStr">
        <is>
          <t>뇌혈관 
심혈관 
진단비 / 수술비</t>
        </is>
      </c>
      <c r="C29" s="30" t="inlineStr">
        <is>
          <t>뇌혈관질환</t>
        </is>
      </c>
      <c r="D29" s="31" t="n"/>
      <c r="E29" s="31" t="n"/>
      <c r="F29" s="31" t="n"/>
      <c r="G29" s="31" t="n"/>
      <c r="H29" s="31" t="n"/>
      <c r="I29" s="31" t="n"/>
      <c r="J29" s="31" t="n"/>
      <c r="K29" s="32">
        <f>SUM(D29:J29)</f>
        <v/>
      </c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08">
      <c r="A30" s="111" t="n"/>
      <c r="B30" s="111" t="n"/>
      <c r="C30" s="30" t="inlineStr">
        <is>
          <t>뇌경색</t>
        </is>
      </c>
      <c r="D30" s="31" t="n"/>
      <c r="E30" s="31" t="n"/>
      <c r="F30" s="31" t="n"/>
      <c r="G30" s="31" t="n"/>
      <c r="H30" s="31" t="n"/>
      <c r="I30" s="31" t="n"/>
      <c r="J30" s="31" t="n"/>
      <c r="K30" s="32">
        <f>SUM(D30:J30)</f>
        <v/>
      </c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08">
      <c r="A31" s="111" t="n"/>
      <c r="B31" s="111" t="n"/>
      <c r="C31" s="30" t="inlineStr">
        <is>
          <t>뇌출혈</t>
        </is>
      </c>
      <c r="D31" s="31" t="n"/>
      <c r="E31" s="31" t="n"/>
      <c r="F31" s="31" t="n"/>
      <c r="G31" s="31" t="n"/>
      <c r="H31" s="31" t="n"/>
      <c r="I31" s="31" t="n"/>
      <c r="J31" s="31" t="n"/>
      <c r="K31" s="32">
        <f>SUM(D31:J31)</f>
        <v/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08">
      <c r="A32" s="111" t="n"/>
      <c r="B32" s="111" t="n"/>
      <c r="C32" s="30" t="inlineStr">
        <is>
          <t>허혈성질환</t>
        </is>
      </c>
      <c r="D32" s="31" t="n"/>
      <c r="E32" s="31" t="n"/>
      <c r="F32" s="31" t="n"/>
      <c r="G32" s="31" t="n"/>
      <c r="H32" s="31" t="n"/>
      <c r="I32" s="31" t="n"/>
      <c r="J32" s="31" t="n"/>
      <c r="K32" s="32">
        <f>SUM(D32:J32)</f>
        <v/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08">
      <c r="A33" s="111" t="n"/>
      <c r="B33" s="111" t="n"/>
      <c r="C33" s="30" t="inlineStr">
        <is>
          <t>급성심근경색</t>
        </is>
      </c>
      <c r="D33" s="31" t="n"/>
      <c r="E33" s="31" t="n"/>
      <c r="F33" s="31" t="n"/>
      <c r="G33" s="31" t="n"/>
      <c r="H33" s="31" t="n"/>
      <c r="I33" s="31" t="n"/>
      <c r="J33" s="31" t="n"/>
      <c r="K33" s="32">
        <f>SUM(D33:J33)</f>
        <v/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08">
      <c r="A34" s="111" t="n"/>
      <c r="B34" s="111" t="n"/>
      <c r="C34" s="30" t="inlineStr">
        <is>
          <t>혈전용해치료비(뇌)</t>
        </is>
      </c>
      <c r="D34" s="31" t="n"/>
      <c r="E34" s="31" t="n"/>
      <c r="F34" s="31" t="n"/>
      <c r="G34" s="31" t="n"/>
      <c r="H34" s="31" t="n"/>
      <c r="I34" s="31" t="n"/>
      <c r="J34" s="31" t="n"/>
      <c r="K34" s="32">
        <f>SUM(D34:J34)</f>
        <v/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08">
      <c r="A35" s="111" t="n"/>
      <c r="B35" s="111" t="n"/>
      <c r="C35" s="30" t="inlineStr">
        <is>
          <t>혈전용해치료비(심장)</t>
        </is>
      </c>
      <c r="D35" s="31" t="n"/>
      <c r="E35" s="31" t="n"/>
      <c r="F35" s="31" t="n"/>
      <c r="G35" s="31" t="n"/>
      <c r="H35" s="31" t="n"/>
      <c r="I35" s="31" t="n"/>
      <c r="J35" s="31" t="n"/>
      <c r="K35" s="32">
        <f>SUM(D35:J35)</f>
        <v/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08">
      <c r="A36" s="111" t="n"/>
      <c r="B36" s="111" t="n"/>
      <c r="C36" s="30" t="inlineStr">
        <is>
          <t>뇌혈관수술비</t>
        </is>
      </c>
      <c r="D36" s="31" t="n"/>
      <c r="E36" s="31" t="n"/>
      <c r="F36" s="31" t="n"/>
      <c r="G36" s="31" t="n"/>
      <c r="H36" s="31" t="n"/>
      <c r="I36" s="31" t="n"/>
      <c r="J36" s="31" t="n"/>
      <c r="K36" s="32">
        <f>SUM(D36:J36)</f>
        <v/>
      </c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08">
      <c r="A37" s="111" t="n"/>
      <c r="B37" s="111" t="n"/>
      <c r="C37" s="30" t="inlineStr">
        <is>
          <t>허혈성질환수술비</t>
        </is>
      </c>
      <c r="D37" s="31" t="n"/>
      <c r="E37" s="31" t="n"/>
      <c r="F37" s="31" t="n"/>
      <c r="G37" s="31" t="n"/>
      <c r="H37" s="31" t="n"/>
      <c r="I37" s="31" t="n"/>
      <c r="J37" s="31" t="n"/>
      <c r="K37" s="32">
        <f>SUM(D37:J37)</f>
        <v/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08">
      <c r="A38" s="111" t="n"/>
      <c r="B38" s="111" t="n"/>
      <c r="C38" s="30" t="inlineStr">
        <is>
          <t>뇌출혈수술비</t>
        </is>
      </c>
      <c r="D38" s="31" t="n"/>
      <c r="E38" s="31" t="n"/>
      <c r="F38" s="31" t="n"/>
      <c r="G38" s="31" t="n"/>
      <c r="H38" s="31" t="n"/>
      <c r="I38" s="31" t="n"/>
      <c r="J38" s="31" t="n"/>
      <c r="K38" s="32">
        <f>SUM(D38:J38)</f>
        <v/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08">
      <c r="A39" s="112" t="n"/>
      <c r="B39" s="112" t="n"/>
      <c r="C39" s="30" t="inlineStr">
        <is>
          <t>급성심근경색수술비</t>
        </is>
      </c>
      <c r="D39" s="31" t="n"/>
      <c r="E39" s="31" t="n"/>
      <c r="F39" s="31" t="n"/>
      <c r="G39" s="31" t="n"/>
      <c r="H39" s="31" t="n"/>
      <c r="I39" s="31" t="n"/>
      <c r="J39" s="31" t="n"/>
      <c r="K39" s="32">
        <f>SUM(D39:J39)</f>
        <v/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08">
      <c r="A40" s="114" t="n">
        <v>4</v>
      </c>
      <c r="B40" s="117" t="inlineStr">
        <is>
          <t>수술비</t>
        </is>
      </c>
      <c r="C40" s="33" t="inlineStr">
        <is>
          <t>질병수술비 최소</t>
        </is>
      </c>
      <c r="D40" s="34" t="n"/>
      <c r="E40" s="34" t="n"/>
      <c r="F40" s="34" t="n"/>
      <c r="G40" s="34" t="n"/>
      <c r="H40" s="34" t="n"/>
      <c r="I40" s="34" t="n"/>
      <c r="J40" s="34" t="n"/>
      <c r="K40" s="32">
        <f>SUM(D40:J40)</f>
        <v/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08">
      <c r="A41" s="111" t="n"/>
      <c r="B41" s="111" t="n"/>
      <c r="C41" s="33" t="inlineStr">
        <is>
          <t>질병수술비 최대</t>
        </is>
      </c>
      <c r="D41" s="34" t="n"/>
      <c r="E41" s="34" t="n"/>
      <c r="F41" s="34" t="n"/>
      <c r="G41" s="34" t="n"/>
      <c r="H41" s="34" t="n"/>
      <c r="I41" s="34" t="n"/>
      <c r="J41" s="34" t="n"/>
      <c r="K41" s="32">
        <f>SUM(D41:J41)</f>
        <v/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08">
      <c r="A42" s="111" t="n"/>
      <c r="B42" s="111" t="n"/>
      <c r="C42" s="33" t="inlineStr">
        <is>
          <t>재해수술비 최소</t>
        </is>
      </c>
      <c r="D42" s="34" t="n"/>
      <c r="E42" s="34" t="n"/>
      <c r="F42" s="34" t="n"/>
      <c r="G42" s="34" t="n"/>
      <c r="H42" s="34" t="n"/>
      <c r="I42" s="34" t="n"/>
      <c r="J42" s="34" t="n"/>
      <c r="K42" s="32">
        <f>SUM(D42:J42)</f>
        <v/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08">
      <c r="A43" s="112" t="n"/>
      <c r="B43" s="112" t="n"/>
      <c r="C43" s="33" t="inlineStr">
        <is>
          <t>재해수술비 최대</t>
        </is>
      </c>
      <c r="D43" s="34" t="n"/>
      <c r="E43" s="34" t="n"/>
      <c r="F43" s="34" t="n"/>
      <c r="G43" s="34" t="n"/>
      <c r="H43" s="34" t="n"/>
      <c r="I43" s="34" t="n"/>
      <c r="J43" s="34" t="n"/>
      <c r="K43" s="32">
        <f>SUM(D43:J43)</f>
        <v/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08">
      <c r="A44" s="114" t="n">
        <v>5</v>
      </c>
      <c r="B44" s="115" t="inlineStr">
        <is>
          <t>골절 / 깁스</t>
        </is>
      </c>
      <c r="C44" s="20" t="inlineStr">
        <is>
          <t>골절</t>
        </is>
      </c>
      <c r="D44" s="21" t="n"/>
      <c r="E44" s="21" t="n"/>
      <c r="F44" s="21" t="n"/>
      <c r="G44" s="21" t="n"/>
      <c r="H44" s="21" t="n"/>
      <c r="I44" s="21" t="n"/>
      <c r="J44" s="21" t="n"/>
      <c r="K44" s="22">
        <f>SUM(D44:J44)</f>
        <v/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08">
      <c r="A45" s="112" t="n"/>
      <c r="B45" s="112" t="n"/>
      <c r="C45" s="20" t="inlineStr">
        <is>
          <t>깁스</t>
        </is>
      </c>
      <c r="D45" s="21" t="n"/>
      <c r="E45" s="21" t="n"/>
      <c r="F45" s="21" t="n"/>
      <c r="G45" s="21" t="n"/>
      <c r="H45" s="21" t="n"/>
      <c r="I45" s="21" t="n"/>
      <c r="J45" s="21" t="n"/>
      <c r="K45" s="22">
        <f>SUM(D45:J45)</f>
        <v/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08">
      <c r="A46" s="114" t="n">
        <v>6</v>
      </c>
      <c r="B46" s="115" t="inlineStr">
        <is>
          <t>입원비 / 통원비</t>
        </is>
      </c>
      <c r="C46" s="35" t="inlineStr">
        <is>
          <t>질병</t>
        </is>
      </c>
      <c r="D46" s="36" t="n"/>
      <c r="E46" s="36" t="n"/>
      <c r="F46" s="36" t="n"/>
      <c r="G46" s="36" t="n"/>
      <c r="H46" s="36" t="n"/>
      <c r="I46" s="36" t="n"/>
      <c r="J46" s="36" t="n"/>
      <c r="K46" s="22">
        <f>SUM(D46:J46)</f>
        <v/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08">
      <c r="A47" s="111" t="n"/>
      <c r="B47" s="111" t="n"/>
      <c r="C47" s="35" t="inlineStr">
        <is>
          <t>재해</t>
        </is>
      </c>
      <c r="D47" s="36" t="n"/>
      <c r="E47" s="36" t="n"/>
      <c r="F47" s="36" t="n"/>
      <c r="G47" s="36" t="n"/>
      <c r="H47" s="36" t="n"/>
      <c r="I47" s="36" t="n"/>
      <c r="J47" s="36" t="n"/>
      <c r="K47" s="22">
        <f>SUM(D47:J47)</f>
        <v/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08">
      <c r="A48" s="111" t="n"/>
      <c r="B48" s="111" t="n"/>
      <c r="C48" s="35" t="inlineStr">
        <is>
          <t>암입원</t>
        </is>
      </c>
      <c r="D48" s="36" t="n"/>
      <c r="E48" s="36" t="n"/>
      <c r="F48" s="36" t="n"/>
      <c r="G48" s="36" t="n"/>
      <c r="H48" s="36" t="n"/>
      <c r="I48" s="36" t="n"/>
      <c r="J48" s="36" t="n"/>
      <c r="K48" s="22">
        <f>SUM(D48:J48)</f>
        <v/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08">
      <c r="A49" s="111" t="n"/>
      <c r="B49" s="111" t="n"/>
      <c r="C49" s="35" t="inlineStr">
        <is>
          <t>종합병원입원비1인실</t>
        </is>
      </c>
      <c r="D49" s="36" t="n"/>
      <c r="E49" s="36" t="n"/>
      <c r="F49" s="36" t="n"/>
      <c r="G49" s="36" t="n"/>
      <c r="H49" s="36" t="n"/>
      <c r="I49" s="36" t="n"/>
      <c r="J49" s="36" t="n"/>
      <c r="K49" s="22">
        <f>SUM(D49:J49)</f>
        <v/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08">
      <c r="A50" s="111" t="n"/>
      <c r="B50" s="111" t="n"/>
      <c r="C50" s="35" t="inlineStr">
        <is>
          <t>종합병원입원비2~3인실</t>
        </is>
      </c>
      <c r="D50" s="36" t="n"/>
      <c r="E50" s="36" t="n"/>
      <c r="F50" s="36" t="n"/>
      <c r="G50" s="36" t="n"/>
      <c r="H50" s="36" t="n"/>
      <c r="I50" s="36" t="n"/>
      <c r="J50" s="36" t="n"/>
      <c r="K50" s="22">
        <f>SUM(D50:J50)</f>
        <v/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08">
      <c r="A51" s="111" t="n"/>
      <c r="B51" s="111" t="n"/>
      <c r="C51" s="35" t="inlineStr">
        <is>
          <t>상급병원입원비1인실</t>
        </is>
      </c>
      <c r="D51" s="36" t="n"/>
      <c r="E51" s="36" t="n"/>
      <c r="F51" s="36" t="n"/>
      <c r="G51" s="36" t="n"/>
      <c r="H51" s="36" t="n"/>
      <c r="I51" s="36" t="n"/>
      <c r="J51" s="36" t="n"/>
      <c r="K51" s="22">
        <f>SUM(D51:J51)</f>
        <v/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08">
      <c r="A52" s="111" t="n"/>
      <c r="B52" s="111" t="n"/>
      <c r="C52" s="35" t="inlineStr">
        <is>
          <t>상급병원입원비2~3인실</t>
        </is>
      </c>
      <c r="D52" s="36" t="n"/>
      <c r="E52" s="36" t="n"/>
      <c r="F52" s="36" t="n"/>
      <c r="G52" s="36" t="n"/>
      <c r="H52" s="36" t="n"/>
      <c r="I52" s="36" t="n"/>
      <c r="J52" s="36" t="n"/>
      <c r="K52" s="22">
        <f>SUM(D52:J52)</f>
        <v/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08">
      <c r="A53" s="111" t="n"/>
      <c r="B53" s="111" t="n"/>
      <c r="C53" s="35" t="inlineStr">
        <is>
          <t>중환자실입원비</t>
        </is>
      </c>
      <c r="D53" s="36" t="n"/>
      <c r="E53" s="36" t="n"/>
      <c r="F53" s="36" t="n"/>
      <c r="G53" s="36" t="n"/>
      <c r="H53" s="36" t="n"/>
      <c r="I53" s="36" t="n"/>
      <c r="J53" s="36" t="n"/>
      <c r="K53" s="22">
        <f>SUM(D53:J53)</f>
        <v/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08">
      <c r="A54" s="111" t="n"/>
      <c r="B54" s="111" t="n"/>
      <c r="C54" s="35" t="inlineStr">
        <is>
          <t>종합병원통원비</t>
        </is>
      </c>
      <c r="D54" s="36" t="n"/>
      <c r="E54" s="36" t="n"/>
      <c r="F54" s="36" t="n"/>
      <c r="G54" s="36" t="n"/>
      <c r="H54" s="36" t="n"/>
      <c r="I54" s="36" t="n"/>
      <c r="J54" s="36" t="n"/>
      <c r="K54" s="22">
        <f>SUM(D54:J54)</f>
        <v/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08">
      <c r="A55" s="111" t="n"/>
      <c r="B55" s="111" t="n"/>
      <c r="C55" s="35" t="inlineStr">
        <is>
          <t>상급종합병원통원비</t>
        </is>
      </c>
      <c r="D55" s="36" t="n"/>
      <c r="E55" s="36" t="n"/>
      <c r="F55" s="36" t="n"/>
      <c r="G55" s="36" t="n"/>
      <c r="H55" s="36" t="n"/>
      <c r="I55" s="36" t="n"/>
      <c r="J55" s="36" t="n"/>
      <c r="K55" s="37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08">
      <c r="A56" s="112" t="n"/>
      <c r="B56" s="112" t="n"/>
      <c r="C56" s="35" t="inlineStr">
        <is>
          <t>상급종합병원암통원비</t>
        </is>
      </c>
      <c r="D56" s="36" t="n"/>
      <c r="E56" s="36" t="n"/>
      <c r="F56" s="36" t="n"/>
      <c r="G56" s="36" t="n"/>
      <c r="H56" s="36" t="n"/>
      <c r="I56" s="36" t="n"/>
      <c r="J56" s="36" t="n"/>
      <c r="K56" s="22">
        <f>SUM(D56:J56)</f>
        <v/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08">
      <c r="A57" s="114" t="n">
        <v>7</v>
      </c>
      <c r="B57" s="118" t="inlineStr">
        <is>
          <t>치매보장</t>
        </is>
      </c>
      <c r="C57" s="39" t="inlineStr">
        <is>
          <t>경증치매</t>
        </is>
      </c>
      <c r="D57" s="40" t="n"/>
      <c r="E57" s="40" t="n"/>
      <c r="F57" s="40" t="n"/>
      <c r="G57" s="40" t="n"/>
      <c r="H57" s="40" t="n"/>
      <c r="I57" s="40" t="n"/>
      <c r="J57" s="40" t="n"/>
      <c r="K57" s="41">
        <f>SUM(D57:J57)</f>
        <v/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08">
      <c r="A58" s="112" t="n"/>
      <c r="B58" s="112" t="n"/>
      <c r="C58" s="39" t="inlineStr">
        <is>
          <t>중증치매</t>
        </is>
      </c>
      <c r="D58" s="40" t="n"/>
      <c r="E58" s="40" t="n"/>
      <c r="F58" s="40" t="n"/>
      <c r="G58" s="40" t="n"/>
      <c r="H58" s="40" t="n"/>
      <c r="I58" s="40" t="n"/>
      <c r="J58" s="40" t="n"/>
      <c r="K58" s="41">
        <f>SUM(D58:J58)</f>
        <v/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08">
      <c r="A59" s="114" t="n">
        <v>8</v>
      </c>
      <c r="B59" s="118" t="inlineStr">
        <is>
          <t>간병비</t>
        </is>
      </c>
      <c r="C59" s="20" t="inlineStr">
        <is>
          <t>간병비(질병)</t>
        </is>
      </c>
      <c r="D59" s="21" t="n"/>
      <c r="E59" s="21" t="n"/>
      <c r="F59" s="21" t="n"/>
      <c r="G59" s="21" t="n"/>
      <c r="H59" s="21" t="n"/>
      <c r="I59" s="21" t="n"/>
      <c r="J59" s="21" t="n"/>
      <c r="K59" s="41">
        <f>SUM(D59:J59)</f>
        <v/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08">
      <c r="A60" s="112" t="n"/>
      <c r="B60" s="112" t="n"/>
      <c r="C60" s="20" t="inlineStr">
        <is>
          <t>간병비(상해)</t>
        </is>
      </c>
      <c r="D60" s="21" t="n"/>
      <c r="E60" s="21" t="n"/>
      <c r="F60" s="21" t="n"/>
      <c r="G60" s="21" t="n"/>
      <c r="H60" s="21" t="n"/>
      <c r="I60" s="21" t="n"/>
      <c r="J60" s="21" t="n"/>
      <c r="K60" s="41">
        <f>SUM(D60:J60)</f>
        <v/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08">
      <c r="A61" s="114" t="n">
        <v>9</v>
      </c>
      <c r="B61" s="118" t="inlineStr">
        <is>
          <t>치아</t>
        </is>
      </c>
      <c r="C61" s="27" t="inlineStr">
        <is>
          <t>치아보철치료비</t>
        </is>
      </c>
      <c r="D61" s="28" t="n"/>
      <c r="E61" s="28" t="n"/>
      <c r="F61" s="28" t="n"/>
      <c r="G61" s="28" t="n"/>
      <c r="H61" s="28" t="n"/>
      <c r="I61" s="28" t="n"/>
      <c r="J61" s="28" t="n"/>
      <c r="K61" s="41">
        <f>SUM(D61:J61)</f>
        <v/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08">
      <c r="A62" s="112" t="n"/>
      <c r="B62" s="112" t="n"/>
      <c r="C62" s="27" t="inlineStr">
        <is>
          <t>치아보존치료비</t>
        </is>
      </c>
      <c r="D62" s="28" t="n"/>
      <c r="E62" s="28" t="n"/>
      <c r="F62" s="28" t="n"/>
      <c r="G62" s="28" t="n"/>
      <c r="H62" s="28" t="n"/>
      <c r="I62" s="28" t="n"/>
      <c r="J62" s="28" t="n"/>
      <c r="K62" s="41">
        <f>SUM(D62:J62)</f>
        <v/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08">
      <c r="A63" s="114" t="n">
        <v>10</v>
      </c>
      <c r="B63" s="116" t="inlineStr">
        <is>
          <t>실손의료비</t>
        </is>
      </c>
      <c r="C63" s="33" t="inlineStr">
        <is>
          <t>질병의료비</t>
        </is>
      </c>
      <c r="D63" s="34" t="n"/>
      <c r="E63" s="34" t="n"/>
      <c r="F63" s="34" t="n"/>
      <c r="G63" s="34" t="n"/>
      <c r="H63" s="34" t="n"/>
      <c r="I63" s="34" t="n"/>
      <c r="J63" s="34" t="n"/>
      <c r="K63" s="26">
        <f>SUM(D63:J63)</f>
        <v/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08">
      <c r="A64" s="112" t="n"/>
      <c r="B64" s="112" t="n"/>
      <c r="C64" s="33" t="inlineStr">
        <is>
          <t>상해의료비</t>
        </is>
      </c>
      <c r="D64" s="34" t="n"/>
      <c r="E64" s="34" t="n"/>
      <c r="F64" s="34" t="n"/>
      <c r="G64" s="34" t="n"/>
      <c r="H64" s="34" t="n"/>
      <c r="I64" s="34" t="n"/>
      <c r="J64" s="34" t="n"/>
      <c r="K64" s="26">
        <f>SUM(D64:J64)</f>
        <v/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08">
      <c r="A65" s="119" t="n"/>
      <c r="B65" s="43" t="inlineStr">
        <is>
          <t>기납입보험료</t>
        </is>
      </c>
      <c r="C65" s="43" t="n"/>
      <c r="D65" s="44" t="n"/>
      <c r="E65" s="44" t="n"/>
      <c r="F65" s="44" t="n"/>
      <c r="G65" s="44" t="n"/>
      <c r="H65" s="44" t="n"/>
      <c r="I65" s="44" t="n"/>
      <c r="J65" s="44" t="n"/>
      <c r="K65" s="44">
        <f>sum(D65:J65)</f>
        <v/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08">
      <c r="A66" s="111" t="n"/>
      <c r="B66" s="43" t="inlineStr">
        <is>
          <t>납입할보험료</t>
        </is>
      </c>
      <c r="C66" s="43" t="n"/>
      <c r="D66" s="44" t="n"/>
      <c r="E66" s="44" t="n"/>
      <c r="F66" s="44" t="n"/>
      <c r="G66" s="44" t="n"/>
      <c r="H66" s="44" t="n"/>
      <c r="I66" s="44" t="n"/>
      <c r="J66" s="44" t="n"/>
      <c r="K66" s="44">
        <f>sum(D66:J66)</f>
        <v/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08">
      <c r="A67" s="112" t="n"/>
      <c r="B67" s="43" t="inlineStr">
        <is>
          <t>총납입보험료</t>
        </is>
      </c>
      <c r="C67" s="43" t="n"/>
      <c r="D67" s="44">
        <f>D65+D66</f>
        <v/>
      </c>
      <c r="E67" s="44">
        <f>E65+E66</f>
        <v/>
      </c>
      <c r="F67" s="44">
        <f>F65+F66</f>
        <v/>
      </c>
      <c r="G67" s="44">
        <f>G65+G66</f>
        <v/>
      </c>
      <c r="H67" s="44">
        <f>H65+H66</f>
        <v/>
      </c>
      <c r="I67" s="44">
        <f>I65+I66</f>
        <v/>
      </c>
      <c r="J67" s="44">
        <f>J65+J66</f>
        <v/>
      </c>
      <c r="K67" s="44">
        <f>sum(D67:I67)</f>
        <v/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08">
      <c r="A68" s="45" t="n"/>
      <c r="B68" s="46" t="n"/>
      <c r="C68" s="46" t="n"/>
      <c r="D68" s="47" t="n"/>
      <c r="E68" s="47" t="n"/>
      <c r="F68" s="47" t="n"/>
      <c r="G68" s="47" t="n"/>
      <c r="H68" s="47" t="n"/>
      <c r="I68" s="47" t="n"/>
      <c r="J68" s="47" t="n"/>
      <c r="K68" s="47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21.75" customHeight="1" s="108">
      <c r="A69" s="120" t="inlineStr">
        <is>
          <t>🔄  갱신형 / 비갱신형 구분</t>
        </is>
      </c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21.75" customHeight="1" s="108">
      <c r="A70" s="69" t="inlineStr">
        <is>
          <t>갱신 구분</t>
        </is>
      </c>
      <c r="B70" s="123" t="n"/>
      <c r="C70" s="124" t="n"/>
      <c r="D70" s="54" t="n"/>
      <c r="E70" s="55" t="n"/>
      <c r="F70" s="56" t="n"/>
      <c r="G70" s="57" t="n"/>
      <c r="H70" s="55" t="n"/>
      <c r="I70" s="125" t="inlineStr">
        <is>
          <t>※ 부분갱신형: 주계약 비갱신 / 일부 특약 갱신형 포함</t>
        </is>
      </c>
      <c r="J70" s="126" t="n"/>
      <c r="K70" s="127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25.5" customHeight="1" s="108">
      <c r="A71" s="128" t="inlineStr">
        <is>
          <t>보험료
변화 예고</t>
        </is>
      </c>
      <c r="B71" s="123" t="n"/>
      <c r="C71" s="124" t="n"/>
      <c r="D71" s="62" t="n"/>
      <c r="E71" s="63" t="n"/>
      <c r="F71" s="64" t="n"/>
      <c r="G71" s="57" t="n"/>
      <c r="H71" s="65" t="n"/>
      <c r="I71" s="99" t="n"/>
      <c r="J71" s="126" t="n"/>
      <c r="K71" s="127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7.5" customHeight="1" s="108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27.75" customHeight="1" s="108">
      <c r="A73" s="129" t="inlineStr">
        <is>
          <t>📋  현재 유지중인 보험 리뷰</t>
        </is>
      </c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1" t="n"/>
      <c r="K73" s="12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9.5" customHeight="1" s="108">
      <c r="A74" s="69" t="inlineStr">
        <is>
          <t>보험사 / 상품명</t>
        </is>
      </c>
      <c r="B74" s="124" t="n"/>
      <c r="C74" s="69" t="inlineStr">
        <is>
          <t>가입일 / 만기</t>
        </is>
      </c>
      <c r="D74" s="69" t="inlineStr">
        <is>
          <t>월 보험료</t>
        </is>
      </c>
      <c r="E74" s="69" t="inlineStr">
        <is>
          <t>주요 체크사항</t>
        </is>
      </c>
      <c r="F74" s="123" t="n"/>
      <c r="G74" s="123" t="n"/>
      <c r="H74" s="124" t="n"/>
      <c r="I74" s="69" t="inlineStr">
        <is>
          <t>특이사항 (면책기간, 보장범위 등)</t>
        </is>
      </c>
      <c r="J74" s="123" t="n"/>
      <c r="K74" s="124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69.75" customHeight="1" s="108">
      <c r="A75" s="74" t="inlineStr">
        <is>
          <t>한화손해보험
한화단체상해보험</t>
        </is>
      </c>
      <c r="B75" s="130" t="n"/>
      <c r="C75" s="73" t="inlineStr">
        <is>
          <t>2025.06~2026.06
(1년 단기)</t>
        </is>
      </c>
      <c r="D75" s="74" t="inlineStr">
        <is>
          <t>0원
(단체계약)</t>
        </is>
      </c>
      <c r="E75" s="131" t="inlineStr">
        <is>
          <t>⚠️ 1년 단기 단체계약 → 2026년 6월 만기 소멸 예정
   개인 상해보험 미가입 시 보장 공백 발생 주의</t>
        </is>
      </c>
      <c r="F75" s="126" t="n"/>
      <c r="G75" s="126" t="n"/>
      <c r="H75" s="130" t="n"/>
      <c r="I75" s="132" t="n"/>
      <c r="J75" s="126" t="n"/>
      <c r="K75" s="130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69.75" customHeight="1" s="108">
      <c r="A76" s="79" t="n"/>
      <c r="B76" s="130" t="n"/>
      <c r="C76" s="78" t="n"/>
      <c r="D76" s="79" t="n"/>
      <c r="E76" s="131" t="n"/>
      <c r="F76" s="126" t="n"/>
      <c r="G76" s="126" t="n"/>
      <c r="H76" s="130" t="n"/>
      <c r="I76" s="132" t="n"/>
      <c r="J76" s="126" t="n"/>
      <c r="K76" s="130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69.75" customHeight="1" s="108">
      <c r="A77" s="82" t="n"/>
      <c r="B77" s="130" t="n"/>
      <c r="C77" s="81" t="n"/>
      <c r="D77" s="82" t="n"/>
      <c r="E77" s="131" t="n"/>
      <c r="F77" s="126" t="n"/>
      <c r="G77" s="126" t="n"/>
      <c r="H77" s="130" t="n"/>
      <c r="I77" s="132" t="n"/>
      <c r="J77" s="126" t="n"/>
      <c r="K77" s="130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69.75" customHeight="1" s="108">
      <c r="A78" s="82" t="n"/>
      <c r="B78" s="130" t="n"/>
      <c r="C78" s="81" t="n"/>
      <c r="D78" s="82" t="n"/>
      <c r="E78" s="131" t="n"/>
      <c r="F78" s="126" t="n"/>
      <c r="G78" s="126" t="n"/>
      <c r="H78" s="130" t="n"/>
      <c r="I78" s="132" t="n"/>
      <c r="J78" s="126" t="n"/>
      <c r="K78" s="130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69.75" customHeight="1" s="108">
      <c r="A79" s="85" t="n"/>
      <c r="B79" s="130" t="n"/>
      <c r="C79" s="84" t="n"/>
      <c r="D79" s="85" t="n"/>
      <c r="E79" s="131" t="n"/>
      <c r="F79" s="126" t="n"/>
      <c r="G79" s="126" t="n"/>
      <c r="H79" s="130" t="n"/>
      <c r="I79" s="132" t="n"/>
      <c r="J79" s="126" t="n"/>
      <c r="K79" s="130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7.5" customHeight="1" s="108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7.5" customHeight="1" s="108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27.75" customHeight="1" s="108">
      <c r="A82" s="129" t="inlineStr">
        <is>
          <t>👨‍👩‍👧‍👦  가족 보장 현황</t>
        </is>
      </c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1" t="n"/>
      <c r="K82" s="12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9.5" customHeight="1" s="108">
      <c r="A83" s="69" t="inlineStr">
        <is>
          <t>구분</t>
        </is>
      </c>
      <c r="B83" s="69" t="inlineStr">
        <is>
          <t>성명 / 나이</t>
        </is>
      </c>
      <c r="C83" s="124" t="n"/>
      <c r="D83" s="69" t="inlineStr">
        <is>
          <t>월 보험료</t>
        </is>
      </c>
      <c r="E83" s="124" t="n"/>
      <c r="F83" s="69" t="inlineStr">
        <is>
          <t>사망보장</t>
        </is>
      </c>
      <c r="G83" s="69" t="inlineStr">
        <is>
          <t>암 보장</t>
        </is>
      </c>
      <c r="H83" s="69" t="inlineStr">
        <is>
          <t>실손여부</t>
        </is>
      </c>
      <c r="I83" s="69" t="inlineStr">
        <is>
          <t>주요 현황</t>
        </is>
      </c>
      <c r="J83" s="123" t="n"/>
      <c r="K83" s="124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27.75" customHeight="1" s="108">
      <c r="A84" s="86" t="inlineStr">
        <is>
          <t>본인</t>
        </is>
      </c>
      <c r="B84" s="133" t="inlineStr">
        <is>
          <t>이병희 / 52세</t>
        </is>
      </c>
      <c r="C84" s="130" t="n"/>
      <c r="D84" s="86" t="inlineStr">
        <is>
          <t>305,157원</t>
        </is>
      </c>
      <c r="E84" s="130" t="n"/>
      <c r="F84" s="89" t="inlineStr">
        <is>
          <t>5,263만 ⚠️</t>
        </is>
      </c>
      <c r="G84" s="89" t="inlineStr">
        <is>
          <t>3,000만 ⚠️</t>
        </is>
      </c>
      <c r="H84" s="90" t="inlineStr">
        <is>
          <t>2세대 ✅</t>
        </is>
      </c>
      <c r="I84" s="133" t="inlineStr">
        <is>
          <t>사망·암 보장 보강 필요 / 현재 분석 대상</t>
        </is>
      </c>
      <c r="J84" s="126" t="n"/>
      <c r="K84" s="130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25.5" customHeight="1" s="108">
      <c r="A85" s="74" t="inlineStr">
        <is>
          <t>배우자</t>
        </is>
      </c>
      <c r="B85" s="134" t="inlineStr">
        <is>
          <t xml:space="preserve">           /       세</t>
        </is>
      </c>
      <c r="C85" s="130" t="n"/>
      <c r="D85" s="93" t="n"/>
      <c r="E85" s="130" t="n"/>
      <c r="F85" s="93" t="n"/>
      <c r="G85" s="93" t="n"/>
      <c r="H85" s="93" t="n"/>
      <c r="I85" s="135" t="n"/>
      <c r="J85" s="126" t="n"/>
      <c r="K85" s="130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5.5" customHeight="1" s="108">
      <c r="A86" s="95" t="inlineStr">
        <is>
          <t>자녀1</t>
        </is>
      </c>
      <c r="B86" s="93" t="inlineStr">
        <is>
          <t xml:space="preserve">           /       세</t>
        </is>
      </c>
      <c r="C86" s="130" t="n"/>
      <c r="D86" s="93" t="n"/>
      <c r="E86" s="130" t="n"/>
      <c r="F86" s="93" t="n"/>
      <c r="G86" s="93" t="n"/>
      <c r="H86" s="93" t="n"/>
      <c r="I86" s="135" t="n"/>
      <c r="J86" s="126" t="n"/>
      <c r="K86" s="130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25.5" customHeight="1" s="108">
      <c r="A87" s="95" t="inlineStr">
        <is>
          <t>자녀2</t>
        </is>
      </c>
      <c r="B87" s="93" t="inlineStr">
        <is>
          <t xml:space="preserve">           /       세</t>
        </is>
      </c>
      <c r="C87" s="130" t="n"/>
      <c r="D87" s="93" t="n"/>
      <c r="E87" s="130" t="n"/>
      <c r="F87" s="93" t="n"/>
      <c r="G87" s="93" t="n"/>
      <c r="H87" s="93" t="n"/>
      <c r="I87" s="135" t="n"/>
      <c r="J87" s="126" t="n"/>
      <c r="K87" s="13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4.75" customHeight="1" s="108">
      <c r="A88" s="136" t="inlineStr">
        <is>
          <t>가족 구성원의 보험 현황을 함께 점검하면 중복·공백 없이 더 체계적인 보장 설계가 가능합니다. 다음 상담 시 가족 보험 증권도 함께 준비해 주시면 종합적인 분석을 도와드리겠습니다.</t>
        </is>
      </c>
      <c r="B88" s="137" t="n"/>
      <c r="C88" s="137" t="n"/>
      <c r="D88" s="137" t="n"/>
      <c r="E88" s="137" t="n"/>
      <c r="F88" s="137" t="n"/>
      <c r="G88" s="137" t="n"/>
      <c r="H88" s="137" t="n"/>
      <c r="I88" s="137" t="n"/>
      <c r="J88" s="137" t="n"/>
      <c r="K88" s="138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08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9.5" customHeight="1" s="108">
      <c r="A90" s="120" t="inlineStr">
        <is>
          <t>💰  보장성보험 세액공제 안내</t>
        </is>
      </c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1" t="n"/>
      <c r="K90" s="12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21.75" customHeight="1" s="108">
      <c r="A91" s="128" t="inlineStr">
        <is>
          <t>연간
납입액</t>
        </is>
      </c>
      <c r="B91" s="123" t="n"/>
      <c r="C91" s="124" t="n"/>
      <c r="D91" s="99" t="inlineStr">
        <is>
          <t>0원</t>
        </is>
      </c>
      <c r="E91" s="100" t="inlineStr">
        <is>
          <t>426,720원</t>
        </is>
      </c>
      <c r="F91" s="100" t="inlineStr">
        <is>
          <t>2,053,164원</t>
        </is>
      </c>
      <c r="G91" s="99" t="inlineStr">
        <is>
          <t>0원</t>
        </is>
      </c>
      <c r="H91" s="100" t="inlineStr">
        <is>
          <t>1,182,000원</t>
        </is>
      </c>
      <c r="I91" s="100" t="inlineStr">
        <is>
          <t>3,661,884원</t>
        </is>
      </c>
      <c r="J91" s="126" t="n"/>
      <c r="K91" s="127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24" customHeight="1" s="108">
      <c r="A92" s="128" t="inlineStr">
        <is>
          <t>예상
세액공제</t>
        </is>
      </c>
      <c r="B92" s="123" t="n"/>
      <c r="C92" s="124" t="n"/>
      <c r="D92" s="102" t="inlineStr">
        <is>
          <t>❌ 비해당
(단체계약)</t>
        </is>
      </c>
      <c r="E92" s="63" t="inlineStr">
        <is>
          <t>✅ 51,206원</t>
        </is>
      </c>
      <c r="F92" s="63" t="inlineStr">
        <is>
          <t>✅ 120,000원
(한도 100만원)</t>
        </is>
      </c>
      <c r="G92" s="102" t="inlineStr">
        <is>
          <t>❌ 납입완료</t>
        </is>
      </c>
      <c r="H92" s="65" t="inlineStr">
        <is>
          <t>⚠️ 위험보험료
별도 확인</t>
        </is>
      </c>
      <c r="I92" s="128" t="inlineStr">
        <is>
          <t>최대 연 12만원
(지방세 포함 13.2만원)</t>
        </is>
      </c>
      <c r="J92" s="123" t="n"/>
      <c r="K92" s="124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9.5" customHeight="1" s="108">
      <c r="A93" s="139" t="inlineStr">
        <is>
          <t>📌  비  고</t>
        </is>
      </c>
      <c r="B93" s="121" t="n"/>
      <c r="C93" s="122" t="n"/>
      <c r="D93" s="104" t="inlineStr">
        <is>
          <t>⚠️ 단체보험
2026.06 만기
→ 대체 가입 검토</t>
        </is>
      </c>
      <c r="E93" s="105" t="inlineStr">
        <is>
          <t>✅ 운전자 특화
교통상해사망 1천
상해수술비 100만</t>
        </is>
      </c>
      <c r="F93" s="64" t="inlineStr">
        <is>
          <t>⭐ 주력 건강보험
무해지환급형 유지
항암·수술비 포함</t>
        </is>
      </c>
      <c r="G93" s="64" t="inlineStr">
        <is>
          <t>📌 2세대 실손
2029.03 만기
납입완료 상태</t>
        </is>
      </c>
      <c r="H93" s="106" t="inlineStr">
        <is>
          <t>🔍 변액유니버셜
수익률·적립금
확인 필요</t>
        </is>
      </c>
      <c r="I93" s="99" t="n"/>
      <c r="J93" s="126" t="n"/>
      <c r="K93" s="127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21.75" customHeight="1" s="108">
      <c r="A94" s="140" t="inlineStr">
        <is>
          <t>* 상기내용은 고객께서 문의하신 내용에 대한 이해를 돕기위해 작성되었습니다. 분석항목은 대표보장 위주로 예시되었으며, 정확한 내용은 해당 약관 및 보험증권을 참조하십시오.</t>
        </is>
      </c>
      <c r="B94" s="126" t="n"/>
      <c r="C94" s="126" t="n"/>
      <c r="D94" s="126" t="n"/>
      <c r="E94" s="126" t="n"/>
      <c r="F94" s="126" t="n"/>
      <c r="G94" s="126" t="n"/>
      <c r="H94" s="126" t="n"/>
      <c r="I94" s="126" t="n"/>
      <c r="J94" s="126" t="n"/>
      <c r="K94" s="127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08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08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08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0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08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08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08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08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08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08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08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08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08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08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08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08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08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08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08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08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08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08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0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08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08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08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0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0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0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0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0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0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0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0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0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0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0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0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0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0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0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0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0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0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0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0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0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0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0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0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0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0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0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0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0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0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0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0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0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0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0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0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0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0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0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0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0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0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0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0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0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0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0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0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0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0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0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0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0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0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0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0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0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0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0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0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0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0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0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0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0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0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0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0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0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0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0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0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0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0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0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0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0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0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0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0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0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0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0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0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0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0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0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0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0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0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0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0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0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0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0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0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0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0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0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0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0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0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0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0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0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0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0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0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0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0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0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0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0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0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0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0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0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0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0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0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0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0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0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0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0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0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0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0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0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0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0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0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0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0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0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0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0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0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0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0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0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0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0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0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0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0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0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0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0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0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0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0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0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0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0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0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0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0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0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0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0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0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0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0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0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0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08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</row>
    <row r="290" ht="15.75" customHeight="1" s="108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</row>
    <row r="291" ht="15.75" customHeight="1" s="108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</row>
    <row r="292" ht="15.75" customHeight="1" s="108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</row>
    <row r="293" ht="15.75" customHeight="1" s="108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</row>
    <row r="294" ht="15.75" customHeight="1" s="108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</row>
    <row r="295" ht="15.75" customHeight="1" s="108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</row>
    <row r="296" ht="15.75" customHeight="1" s="108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</row>
    <row r="297" ht="15.75" customHeight="1" s="108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</row>
    <row r="298" ht="15.75" customHeight="1" s="10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</row>
    <row r="299" ht="15.75" customHeight="1" s="108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</row>
    <row r="300" ht="15.75" customHeight="1" s="108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</row>
    <row r="301" ht="15.75" customHeight="1" s="108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</row>
    <row r="302" ht="15.75" customHeight="1" s="108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</row>
    <row r="303" ht="15.75" customHeight="1" s="108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</row>
    <row r="304" ht="15.75" customHeight="1" s="108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</row>
    <row r="305" ht="15.75" customHeight="1" s="108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</row>
    <row r="306" ht="15.75" customHeight="1" s="108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</row>
    <row r="307" ht="15.75" customHeight="1" s="108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</row>
    <row r="308" ht="15.75" customHeight="1" s="1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</row>
    <row r="309" ht="15.75" customHeight="1" s="108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</row>
    <row r="310" ht="15.75" customHeight="1" s="108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</row>
    <row r="311" ht="15.75" customHeight="1" s="108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</row>
    <row r="312" ht="15.75" customHeight="1" s="108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</row>
    <row r="313" ht="15.75" customHeight="1" s="108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</row>
    <row r="314" ht="15.75" customHeight="1" s="108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</row>
    <row r="315" ht="15.75" customHeight="1" s="108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</row>
    <row r="316" ht="15.75" customHeight="1" s="108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</row>
    <row r="317" ht="15.75" customHeight="1" s="108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</row>
    <row r="318" ht="15.75" customHeight="1" s="10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</row>
    <row r="319" ht="15.75" customHeight="1" s="108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</row>
    <row r="320" ht="15.75" customHeight="1" s="108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</row>
    <row r="321" ht="15.75" customHeight="1" s="108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</row>
    <row r="322" ht="15.75" customHeight="1" s="108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</row>
    <row r="323" ht="15.75" customHeight="1" s="108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</row>
    <row r="324" ht="15.75" customHeight="1" s="108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</row>
    <row r="325" ht="15.75" customHeight="1" s="108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</row>
    <row r="326" ht="15.75" customHeight="1" s="108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</row>
    <row r="327" ht="15.75" customHeight="1" s="108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</row>
    <row r="328" ht="15.75" customHeight="1" s="10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</row>
    <row r="329" ht="15.75" customHeight="1" s="108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</row>
    <row r="330" ht="15.75" customHeight="1" s="108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</row>
    <row r="331" ht="15.75" customHeight="1" s="108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</row>
    <row r="332" ht="15.75" customHeight="1" s="108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</row>
    <row r="333" ht="15.75" customHeight="1" s="108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</row>
    <row r="334" ht="15.75" customHeight="1" s="108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</row>
    <row r="335" ht="15.75" customHeight="1" s="108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</row>
    <row r="336" ht="15.75" customHeight="1" s="108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</row>
    <row r="337" ht="15.75" customHeight="1" s="108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</row>
    <row r="338" ht="15.75" customHeight="1" s="10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</row>
    <row r="339" ht="15.75" customHeight="1" s="108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</row>
    <row r="340" ht="15.75" customHeight="1" s="108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</row>
    <row r="341" ht="15.75" customHeight="1" s="108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</row>
    <row r="342" ht="15.75" customHeight="1" s="108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</row>
    <row r="343" ht="15.75" customHeight="1" s="108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</row>
    <row r="344" ht="15.75" customHeight="1" s="108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</row>
    <row r="345" ht="15.75" customHeight="1" s="108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</row>
    <row r="346" ht="15.75" customHeight="1" s="108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</row>
    <row r="347" ht="15.75" customHeight="1" s="108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</row>
    <row r="348" ht="15.75" customHeight="1" s="10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</row>
    <row r="349" ht="15.75" customHeight="1" s="108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</row>
    <row r="350" ht="15.75" customHeight="1" s="108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</row>
    <row r="351" ht="15.75" customHeight="1" s="108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</row>
    <row r="352" ht="15.75" customHeight="1" s="108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</row>
    <row r="353" ht="15.75" customHeight="1" s="108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</row>
    <row r="354" ht="15.75" customHeight="1" s="108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</row>
    <row r="355" ht="15.75" customHeight="1" s="108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</row>
    <row r="356" ht="15.75" customHeight="1" s="108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</row>
    <row r="357" ht="15.75" customHeight="1" s="108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</row>
    <row r="358" ht="15.75" customHeight="1" s="10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</row>
    <row r="359" ht="15.75" customHeight="1" s="108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</row>
    <row r="360" ht="15.75" customHeight="1" s="108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</row>
    <row r="361" ht="15.75" customHeight="1" s="108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</row>
    <row r="362" ht="15.75" customHeight="1" s="108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</row>
    <row r="363" ht="15.75" customHeight="1" s="108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</row>
    <row r="364" ht="15.75" customHeight="1" s="108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</row>
    <row r="365" ht="15.75" customHeight="1" s="108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</row>
    <row r="366" ht="15.75" customHeight="1" s="108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</row>
    <row r="367" ht="15.75" customHeight="1" s="108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</row>
    <row r="368" ht="15.75" customHeight="1" s="10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</row>
    <row r="369" ht="15.75" customHeight="1" s="108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</row>
    <row r="370" ht="15.75" customHeight="1" s="108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</row>
    <row r="371" ht="15.75" customHeight="1" s="108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</row>
    <row r="372" ht="15.75" customHeight="1" s="108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</row>
    <row r="373" ht="15.75" customHeight="1" s="108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</row>
    <row r="374" ht="15.75" customHeight="1" s="108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</row>
    <row r="375" ht="15.75" customHeight="1" s="108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</row>
    <row r="376" ht="15.75" customHeight="1" s="108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</row>
    <row r="377" ht="15.75" customHeight="1" s="108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</row>
    <row r="378" ht="15.75" customHeight="1" s="10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</row>
    <row r="379" ht="15.75" customHeight="1" s="108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</row>
    <row r="380" ht="15.75" customHeight="1" s="108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</row>
    <row r="381" ht="15.75" customHeight="1" s="108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</row>
    <row r="382" ht="15.75" customHeight="1" s="108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</row>
    <row r="383" ht="15.75" customHeight="1" s="108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</row>
    <row r="384" ht="15.75" customHeight="1" s="108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</row>
    <row r="385" ht="15.75" customHeight="1" s="108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</row>
    <row r="386" ht="15.75" customHeight="1" s="108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</row>
    <row r="387" ht="15.75" customHeight="1" s="108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</row>
    <row r="388" ht="15.75" customHeight="1" s="10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</row>
    <row r="389" ht="15.75" customHeight="1" s="108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</row>
    <row r="390" ht="15.75" customHeight="1" s="108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</row>
    <row r="391" ht="15.75" customHeight="1" s="108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</row>
    <row r="392" ht="15.75" customHeight="1" s="108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</row>
    <row r="393" ht="15.75" customHeight="1" s="108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</row>
    <row r="394" ht="15.75" customHeight="1" s="108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</row>
    <row r="395" ht="15.75" customHeight="1" s="108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</row>
    <row r="396" ht="15.75" customHeight="1" s="108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</row>
    <row r="397" ht="15.75" customHeight="1" s="108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</row>
    <row r="398" ht="15.75" customHeight="1" s="10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</row>
    <row r="399" ht="15.75" customHeight="1" s="108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</row>
    <row r="400" ht="15.75" customHeight="1" s="108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</row>
    <row r="401" ht="15.75" customHeight="1" s="108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</row>
    <row r="402" ht="15.75" customHeight="1" s="108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</row>
    <row r="403" ht="15.75" customHeight="1" s="108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</row>
    <row r="404" ht="15.75" customHeight="1" s="108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</row>
    <row r="405" ht="15.75" customHeight="1" s="108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</row>
    <row r="406" ht="15.75" customHeight="1" s="108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</row>
    <row r="407" ht="15.75" customHeight="1" s="108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</row>
    <row r="408" ht="15.75" customHeight="1" s="1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</row>
    <row r="409" ht="15.75" customHeight="1" s="108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</row>
    <row r="410" ht="15.75" customHeight="1" s="108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</row>
    <row r="411" ht="15.75" customHeight="1" s="108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</row>
    <row r="412" ht="15.75" customHeight="1" s="108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</row>
    <row r="413" ht="15.75" customHeight="1" s="108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</row>
    <row r="414" ht="15.75" customHeight="1" s="108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</row>
    <row r="415" ht="15.75" customHeight="1" s="108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</row>
    <row r="416" ht="15.75" customHeight="1" s="108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</row>
    <row r="417" ht="15.75" customHeight="1" s="108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</row>
    <row r="418" ht="15.75" customHeight="1" s="10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</row>
    <row r="419" ht="15.75" customHeight="1" s="108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</row>
    <row r="420" ht="15.75" customHeight="1" s="108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</row>
    <row r="421" ht="15.75" customHeight="1" s="108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</row>
    <row r="422" ht="15.75" customHeight="1" s="108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</row>
    <row r="423" ht="15.75" customHeight="1" s="108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</row>
    <row r="424" ht="15.75" customHeight="1" s="108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</row>
    <row r="425" ht="15.75" customHeight="1" s="108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</row>
    <row r="426" ht="15.75" customHeight="1" s="108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</row>
    <row r="427" ht="15.75" customHeight="1" s="108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</row>
    <row r="428" ht="15.75" customHeight="1" s="10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</row>
    <row r="429" ht="15.75" customHeight="1" s="108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</row>
    <row r="430" ht="15.75" customHeight="1" s="108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</row>
    <row r="431" ht="15.75" customHeight="1" s="108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</row>
    <row r="432" ht="15.75" customHeight="1" s="108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</row>
    <row r="433" ht="15.75" customHeight="1" s="108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</row>
    <row r="434" ht="15.75" customHeight="1" s="108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</row>
    <row r="435" ht="15.75" customHeight="1" s="108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</row>
    <row r="436" ht="15.75" customHeight="1" s="108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</row>
    <row r="437" ht="15.75" customHeight="1" s="108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</row>
    <row r="438" ht="15.75" customHeight="1" s="10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</row>
    <row r="439" ht="15.75" customHeight="1" s="108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</row>
    <row r="440" ht="15.75" customHeight="1" s="108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</row>
    <row r="441" ht="15.75" customHeight="1" s="108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</row>
    <row r="442" ht="15.75" customHeight="1" s="108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</row>
    <row r="443" ht="15.75" customHeight="1" s="108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</row>
    <row r="444" ht="15.75" customHeight="1" s="108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</row>
    <row r="445" ht="15.75" customHeight="1" s="108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</row>
    <row r="446" ht="15.75" customHeight="1" s="108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</row>
    <row r="447" ht="15.75" customHeight="1" s="108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</row>
    <row r="448" ht="15.75" customHeight="1" s="10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</row>
    <row r="449" ht="15.75" customHeight="1" s="108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</row>
    <row r="450" ht="15.75" customHeight="1" s="108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</row>
    <row r="451" ht="15.75" customHeight="1" s="108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</row>
    <row r="452" ht="15.75" customHeight="1" s="108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</row>
    <row r="453" ht="15.75" customHeight="1" s="108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</row>
    <row r="454" ht="15.75" customHeight="1" s="108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</row>
    <row r="455" ht="15.75" customHeight="1" s="108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</row>
    <row r="456" ht="15.75" customHeight="1" s="108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</row>
    <row r="457" ht="15.75" customHeight="1" s="108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</row>
    <row r="458" ht="15.75" customHeight="1" s="10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</row>
    <row r="459" ht="15.75" customHeight="1" s="108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</row>
    <row r="460" ht="15.75" customHeight="1" s="108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</row>
    <row r="461" ht="15.75" customHeight="1" s="108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</row>
    <row r="462" ht="15.75" customHeight="1" s="108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</row>
    <row r="463" ht="15.75" customHeight="1" s="108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</row>
    <row r="464" ht="15.75" customHeight="1" s="108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</row>
    <row r="465" ht="15.75" customHeight="1" s="108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</row>
    <row r="466" ht="15.75" customHeight="1" s="108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</row>
    <row r="467" ht="15.75" customHeight="1" s="108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</row>
    <row r="468" ht="15.75" customHeight="1" s="10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</row>
    <row r="469" ht="15.75" customHeight="1" s="108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</row>
    <row r="470" ht="15.75" customHeight="1" s="108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</row>
    <row r="471" ht="15.75" customHeight="1" s="108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</row>
    <row r="472" ht="15.75" customHeight="1" s="108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</row>
    <row r="473" ht="15.75" customHeight="1" s="108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</row>
    <row r="474" ht="15.75" customHeight="1" s="108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</row>
    <row r="475" ht="15.75" customHeight="1" s="108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</row>
    <row r="476" ht="15.75" customHeight="1" s="108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</row>
    <row r="477" ht="15.75" customHeight="1" s="108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</row>
    <row r="478" ht="15.75" customHeight="1" s="10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</row>
    <row r="479" ht="15.75" customHeight="1" s="108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</row>
    <row r="480" ht="15.75" customHeight="1" s="108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</row>
    <row r="481" ht="15.75" customHeight="1" s="108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</row>
    <row r="482" ht="15.75" customHeight="1" s="108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</row>
    <row r="483" ht="15.75" customHeight="1" s="108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</row>
    <row r="484" ht="15.75" customHeight="1" s="108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</row>
    <row r="485" ht="15.75" customHeight="1" s="108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</row>
    <row r="486" ht="15.75" customHeight="1" s="108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</row>
    <row r="487" ht="15.75" customHeight="1" s="108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</row>
    <row r="488" ht="15.75" customHeight="1" s="10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</row>
    <row r="489" ht="15.75" customHeight="1" s="108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</row>
    <row r="490" ht="15.75" customHeight="1" s="108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</row>
    <row r="491" ht="15.75" customHeight="1" s="108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</row>
    <row r="492" ht="15.75" customHeight="1" s="108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</row>
    <row r="493" ht="15.75" customHeight="1" s="108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</row>
    <row r="494" ht="15.75" customHeight="1" s="108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</row>
    <row r="495" ht="15.75" customHeight="1" s="108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</row>
    <row r="496" ht="15.75" customHeight="1" s="108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</row>
    <row r="497" ht="15.75" customHeight="1" s="108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</row>
    <row r="498" ht="15.75" customHeight="1" s="10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</row>
    <row r="499" ht="15.75" customHeight="1" s="108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</row>
    <row r="500" ht="15.75" customHeight="1" s="108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</row>
    <row r="501" ht="15.75" customHeight="1" s="108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</row>
    <row r="502" ht="15.75" customHeight="1" s="108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</row>
    <row r="503" ht="15.75" customHeight="1" s="108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</row>
    <row r="504" ht="15.75" customHeight="1" s="108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</row>
    <row r="505" ht="15.75" customHeight="1" s="108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</row>
    <row r="506" ht="15.75" customHeight="1" s="108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</row>
    <row r="507" ht="15.75" customHeight="1" s="108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</row>
    <row r="508" ht="15.75" customHeight="1" s="1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</row>
    <row r="509" ht="15.75" customHeight="1" s="108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</row>
    <row r="510" ht="15.75" customHeight="1" s="108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</row>
    <row r="511" ht="15.75" customHeight="1" s="108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</row>
    <row r="512" ht="15.75" customHeight="1" s="108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</row>
    <row r="513" ht="15.75" customHeight="1" s="108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</row>
    <row r="514" ht="15.75" customHeight="1" s="108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</row>
    <row r="515" ht="15.75" customHeight="1" s="108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</row>
    <row r="516" ht="15.75" customHeight="1" s="108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</row>
    <row r="517" ht="15.75" customHeight="1" s="108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</row>
    <row r="518" ht="15.75" customHeight="1" s="10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</row>
    <row r="519" ht="15.75" customHeight="1" s="108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</row>
    <row r="520" ht="15.75" customHeight="1" s="108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</row>
    <row r="521" ht="15.75" customHeight="1" s="108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</row>
    <row r="522" ht="15.75" customHeight="1" s="108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</row>
    <row r="523" ht="15.75" customHeight="1" s="108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</row>
    <row r="524" ht="15.75" customHeight="1" s="108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</row>
    <row r="525" ht="15.75" customHeight="1" s="108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</row>
    <row r="526" ht="15.75" customHeight="1" s="108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</row>
    <row r="527" ht="15.75" customHeight="1" s="108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</row>
    <row r="528" ht="15.75" customHeight="1" s="10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</row>
    <row r="529" ht="15.75" customHeight="1" s="108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</row>
    <row r="530" ht="15.75" customHeight="1" s="108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</row>
    <row r="531" ht="15.75" customHeight="1" s="108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</row>
    <row r="532" ht="15.75" customHeight="1" s="108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</row>
    <row r="533" ht="15.75" customHeight="1" s="108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</row>
    <row r="534" ht="15.75" customHeight="1" s="108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</row>
    <row r="535" ht="15.75" customHeight="1" s="108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</row>
    <row r="536" ht="15.75" customHeight="1" s="108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</row>
    <row r="537" ht="15.75" customHeight="1" s="108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</row>
    <row r="538" ht="15.75" customHeight="1" s="10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</row>
    <row r="539" ht="15.75" customHeight="1" s="108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</row>
    <row r="540" ht="15.75" customHeight="1" s="108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</row>
    <row r="541" ht="15.75" customHeight="1" s="108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</row>
    <row r="542" ht="15.75" customHeight="1" s="108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</row>
    <row r="543" ht="15.75" customHeight="1" s="108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</row>
    <row r="544" ht="15.75" customHeight="1" s="108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</row>
    <row r="545" ht="15.75" customHeight="1" s="108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</row>
    <row r="546" ht="15.75" customHeight="1" s="108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</row>
    <row r="547" ht="15.75" customHeight="1" s="108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</row>
    <row r="548" ht="15.75" customHeight="1" s="10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</row>
    <row r="549" ht="15.75" customHeight="1" s="108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</row>
    <row r="550" ht="15.75" customHeight="1" s="108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</row>
    <row r="551" ht="15.75" customHeight="1" s="108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</row>
    <row r="552" ht="15.75" customHeight="1" s="108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</row>
    <row r="553" ht="15.75" customHeight="1" s="108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</row>
    <row r="554" ht="15.75" customHeight="1" s="108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</row>
    <row r="555" ht="15.75" customHeight="1" s="108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</row>
    <row r="556" ht="15.75" customHeight="1" s="108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</row>
    <row r="557" ht="15.75" customHeight="1" s="108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</row>
    <row r="558" ht="15.75" customHeight="1" s="10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</row>
    <row r="559" ht="15.75" customHeight="1" s="108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</row>
    <row r="560" ht="15.75" customHeight="1" s="108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</row>
    <row r="561" ht="15.75" customHeight="1" s="108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</row>
    <row r="562" ht="15.75" customHeight="1" s="108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</row>
    <row r="563" ht="15.75" customHeight="1" s="108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</row>
    <row r="564" ht="15.75" customHeight="1" s="108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</row>
    <row r="565" ht="15.75" customHeight="1" s="108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</row>
    <row r="566" ht="15.75" customHeight="1" s="108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</row>
    <row r="567" ht="15.75" customHeight="1" s="108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</row>
    <row r="568" ht="15.75" customHeight="1" s="10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</row>
    <row r="569" ht="15.75" customHeight="1" s="108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</row>
    <row r="570" ht="15.75" customHeight="1" s="108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</row>
    <row r="571" ht="15.75" customHeight="1" s="108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</row>
    <row r="572" ht="15.75" customHeight="1" s="108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</row>
    <row r="573" ht="15.75" customHeight="1" s="108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</row>
    <row r="574" ht="15.75" customHeight="1" s="108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</row>
    <row r="575" ht="15.75" customHeight="1" s="108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</row>
    <row r="576" ht="15.75" customHeight="1" s="108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</row>
    <row r="577" ht="15.75" customHeight="1" s="108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</row>
    <row r="578" ht="15.75" customHeight="1" s="10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</row>
    <row r="579" ht="15.75" customHeight="1" s="108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</row>
    <row r="580" ht="15.75" customHeight="1" s="108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</row>
    <row r="581" ht="15.75" customHeight="1" s="108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</row>
    <row r="582" ht="15.75" customHeight="1" s="108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</row>
    <row r="583" ht="15.75" customHeight="1" s="108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</row>
    <row r="584" ht="15.75" customHeight="1" s="108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</row>
    <row r="585" ht="15.75" customHeight="1" s="108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</row>
    <row r="586" ht="15.75" customHeight="1" s="108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</row>
    <row r="587" ht="15.75" customHeight="1" s="108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</row>
    <row r="588" ht="15.75" customHeight="1" s="10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</row>
    <row r="589" ht="15.75" customHeight="1" s="108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</row>
    <row r="590" ht="15.75" customHeight="1" s="108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</row>
    <row r="591" ht="15.75" customHeight="1" s="108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</row>
    <row r="592" ht="15.75" customHeight="1" s="108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</row>
    <row r="593" ht="15.75" customHeight="1" s="108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</row>
    <row r="594" ht="15.75" customHeight="1" s="108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</row>
    <row r="595" ht="15.75" customHeight="1" s="108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</row>
    <row r="596" ht="15.75" customHeight="1" s="108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</row>
    <row r="597" ht="15.75" customHeight="1" s="108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</row>
    <row r="598" ht="15.75" customHeight="1" s="10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</row>
    <row r="599" ht="15.75" customHeight="1" s="108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</row>
    <row r="600" ht="15.75" customHeight="1" s="108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</row>
    <row r="601" ht="15.75" customHeight="1" s="108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</row>
    <row r="602" ht="15.75" customHeight="1" s="108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</row>
    <row r="603" ht="15.75" customHeight="1" s="108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</row>
    <row r="604" ht="15.75" customHeight="1" s="108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</row>
    <row r="605" ht="15.75" customHeight="1" s="108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</row>
    <row r="606" ht="15.75" customHeight="1" s="108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</row>
    <row r="607" ht="15.75" customHeight="1" s="108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</row>
    <row r="608" ht="15.75" customHeight="1" s="1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</row>
    <row r="609" ht="15.75" customHeight="1" s="108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</row>
    <row r="610" ht="15.75" customHeight="1" s="108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</row>
    <row r="611" ht="15.75" customHeight="1" s="108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</row>
    <row r="612" ht="15.75" customHeight="1" s="108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</row>
    <row r="613" ht="15.75" customHeight="1" s="108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</row>
    <row r="614" ht="15.75" customHeight="1" s="108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</row>
    <row r="615" ht="15.75" customHeight="1" s="108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</row>
    <row r="616" ht="15.75" customHeight="1" s="108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</row>
    <row r="617" ht="15.75" customHeight="1" s="108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</row>
    <row r="618" ht="15.75" customHeight="1" s="10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</row>
    <row r="619" ht="15.75" customHeight="1" s="108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</row>
    <row r="620" ht="15.75" customHeight="1" s="108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</row>
    <row r="621" ht="15.75" customHeight="1" s="108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</row>
    <row r="622" ht="15.75" customHeight="1" s="108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</row>
    <row r="623" ht="15.75" customHeight="1" s="108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</row>
    <row r="624" ht="15.75" customHeight="1" s="108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</row>
    <row r="625" ht="15.75" customHeight="1" s="108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</row>
    <row r="626" ht="15.75" customHeight="1" s="108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</row>
    <row r="627" ht="15.75" customHeight="1" s="108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</row>
    <row r="628" ht="15.75" customHeight="1" s="10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</row>
    <row r="629" ht="15.75" customHeight="1" s="108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</row>
    <row r="630" ht="15.75" customHeight="1" s="108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</row>
    <row r="631" ht="15.75" customHeight="1" s="108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</row>
    <row r="632" ht="15.75" customHeight="1" s="108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</row>
    <row r="633" ht="15.75" customHeight="1" s="108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</row>
    <row r="634" ht="15.75" customHeight="1" s="108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</row>
    <row r="635" ht="15.75" customHeight="1" s="108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</row>
    <row r="636" ht="15.75" customHeight="1" s="108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</row>
    <row r="637" ht="15.75" customHeight="1" s="108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</row>
    <row r="638" ht="15.75" customHeight="1" s="10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</row>
    <row r="639" ht="15.75" customHeight="1" s="108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</row>
    <row r="640" ht="15.75" customHeight="1" s="108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</row>
    <row r="641" ht="15.75" customHeight="1" s="108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</row>
    <row r="642" ht="15.75" customHeight="1" s="108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</row>
    <row r="643" ht="15.75" customHeight="1" s="108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</row>
    <row r="644" ht="15.75" customHeight="1" s="108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</row>
    <row r="645" ht="15.75" customHeight="1" s="108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</row>
    <row r="646" ht="15.75" customHeight="1" s="108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</row>
    <row r="647" ht="15.75" customHeight="1" s="108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</row>
    <row r="648" ht="15.75" customHeight="1" s="10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</row>
    <row r="649" ht="15.75" customHeight="1" s="108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</row>
    <row r="650" ht="15.75" customHeight="1" s="108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</row>
    <row r="651" ht="15.75" customHeight="1" s="108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</row>
    <row r="652" ht="15.75" customHeight="1" s="108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</row>
    <row r="653" ht="15.75" customHeight="1" s="108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</row>
    <row r="654" ht="15.75" customHeight="1" s="108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</row>
    <row r="655" ht="15.75" customHeight="1" s="108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</row>
    <row r="656" ht="15.75" customHeight="1" s="108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</row>
    <row r="657" ht="15.75" customHeight="1" s="108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</row>
    <row r="658" ht="15.75" customHeight="1" s="10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</row>
    <row r="659" ht="15.75" customHeight="1" s="108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</row>
    <row r="660" ht="15.75" customHeight="1" s="108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</row>
    <row r="661" ht="15.75" customHeight="1" s="108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</row>
    <row r="662" ht="15.75" customHeight="1" s="108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</row>
    <row r="663" ht="15.75" customHeight="1" s="108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</row>
    <row r="664" ht="15.75" customHeight="1" s="108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</row>
    <row r="665" ht="15.75" customHeight="1" s="108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</row>
    <row r="666" ht="15.75" customHeight="1" s="108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</row>
    <row r="667" ht="15.75" customHeight="1" s="108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</row>
    <row r="668" ht="15.75" customHeight="1" s="10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</row>
    <row r="669" ht="15.75" customHeight="1" s="108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</row>
    <row r="670" ht="15.75" customHeight="1" s="108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</row>
    <row r="671" ht="15.75" customHeight="1" s="108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</row>
    <row r="672" ht="15.75" customHeight="1" s="108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</row>
    <row r="673" ht="15.75" customHeight="1" s="108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</row>
    <row r="674" ht="15.75" customHeight="1" s="108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</row>
    <row r="675" ht="15.75" customHeight="1" s="108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</row>
    <row r="676" ht="15.75" customHeight="1" s="108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</row>
    <row r="677" ht="15.75" customHeight="1" s="108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</row>
    <row r="678" ht="15.75" customHeight="1" s="10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</row>
    <row r="679" ht="15.75" customHeight="1" s="108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</row>
    <row r="680" ht="15.75" customHeight="1" s="108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</row>
    <row r="681" ht="15.75" customHeight="1" s="108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</row>
    <row r="682" ht="15.75" customHeight="1" s="108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</row>
    <row r="683" ht="15.75" customHeight="1" s="108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</row>
    <row r="684" ht="15.75" customHeight="1" s="108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</row>
    <row r="685" ht="15.75" customHeight="1" s="108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</row>
    <row r="686" ht="15.75" customHeight="1" s="108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</row>
    <row r="687" ht="15.75" customHeight="1" s="108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</row>
    <row r="688" ht="15.75" customHeight="1" s="10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</row>
    <row r="689" ht="15.75" customHeight="1" s="108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</row>
    <row r="690" ht="15.75" customHeight="1" s="108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</row>
    <row r="691" ht="15.75" customHeight="1" s="108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</row>
    <row r="692" ht="15.75" customHeight="1" s="108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</row>
    <row r="693" ht="15.75" customHeight="1" s="108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</row>
    <row r="694" ht="15.75" customHeight="1" s="108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</row>
    <row r="695" ht="15.75" customHeight="1" s="108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</row>
    <row r="696" ht="15.75" customHeight="1" s="108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</row>
    <row r="697" ht="15.75" customHeight="1" s="108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</row>
    <row r="698" ht="15.75" customHeight="1" s="10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</row>
    <row r="699" ht="15.75" customHeight="1" s="108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</row>
    <row r="700" ht="15.75" customHeight="1" s="108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</row>
    <row r="701" ht="15.75" customHeight="1" s="108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</row>
    <row r="702" ht="15.75" customHeight="1" s="108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</row>
    <row r="703" ht="15.75" customHeight="1" s="108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</row>
    <row r="704" ht="15.75" customHeight="1" s="108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</row>
    <row r="705" ht="15.75" customHeight="1" s="108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</row>
    <row r="706" ht="15.75" customHeight="1" s="108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</row>
    <row r="707" ht="15.75" customHeight="1" s="108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</row>
    <row r="708" ht="15.75" customHeight="1" s="1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</row>
    <row r="709" ht="15.75" customHeight="1" s="108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</row>
    <row r="710" ht="15.75" customHeight="1" s="108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</row>
    <row r="711" ht="15.75" customHeight="1" s="108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</row>
    <row r="712" ht="15.75" customHeight="1" s="108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</row>
    <row r="713" ht="15.75" customHeight="1" s="108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</row>
    <row r="714" ht="15.75" customHeight="1" s="108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</row>
    <row r="715" ht="15.75" customHeight="1" s="108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</row>
    <row r="716" ht="15.75" customHeight="1" s="108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</row>
    <row r="717" ht="15.75" customHeight="1" s="108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</row>
    <row r="718" ht="15.75" customHeight="1" s="10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</row>
    <row r="719" ht="15.75" customHeight="1" s="108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</row>
    <row r="720" ht="15.75" customHeight="1" s="108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</row>
    <row r="721" ht="15.75" customHeight="1" s="108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</row>
    <row r="722" ht="15.75" customHeight="1" s="108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</row>
    <row r="723" ht="15.75" customHeight="1" s="108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</row>
    <row r="724" ht="15.75" customHeight="1" s="108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</row>
    <row r="725" ht="15.75" customHeight="1" s="108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</row>
    <row r="726" ht="15.75" customHeight="1" s="108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</row>
    <row r="727" ht="15.75" customHeight="1" s="108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</row>
    <row r="728" ht="15.75" customHeight="1" s="10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</row>
    <row r="729" ht="15.75" customHeight="1" s="108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</row>
    <row r="730" ht="15.75" customHeight="1" s="108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</row>
    <row r="731" ht="15.75" customHeight="1" s="108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</row>
    <row r="732" ht="15.75" customHeight="1" s="108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</row>
    <row r="733" ht="15.75" customHeight="1" s="108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</row>
    <row r="734" ht="15.75" customHeight="1" s="108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</row>
    <row r="735" ht="15.75" customHeight="1" s="108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</row>
    <row r="736" ht="15.75" customHeight="1" s="108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</row>
    <row r="737" ht="15.75" customHeight="1" s="108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</row>
    <row r="738" ht="15.75" customHeight="1" s="10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</row>
    <row r="739" ht="15.75" customHeight="1" s="108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</row>
    <row r="740" ht="15.75" customHeight="1" s="108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</row>
    <row r="741" ht="15.75" customHeight="1" s="108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</row>
    <row r="742" ht="15.75" customHeight="1" s="108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</row>
    <row r="743" ht="15.75" customHeight="1" s="108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</row>
    <row r="744" ht="15.75" customHeight="1" s="108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</row>
    <row r="745" ht="15.75" customHeight="1" s="108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</row>
    <row r="746" ht="15.75" customHeight="1" s="108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</row>
    <row r="747" ht="15.75" customHeight="1" s="108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</row>
    <row r="748" ht="15.75" customHeight="1" s="10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</row>
    <row r="749" ht="15.75" customHeight="1" s="108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</row>
    <row r="750" ht="15.75" customHeight="1" s="108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</row>
    <row r="751" ht="15.75" customHeight="1" s="108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</row>
    <row r="752" ht="15.75" customHeight="1" s="108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</row>
    <row r="753" ht="15.75" customHeight="1" s="108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</row>
    <row r="754" ht="15.75" customHeight="1" s="108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</row>
    <row r="755" ht="15.75" customHeight="1" s="108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</row>
    <row r="756" ht="15.75" customHeight="1" s="108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</row>
    <row r="757" ht="15.75" customHeight="1" s="108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</row>
    <row r="758" ht="15.75" customHeight="1" s="10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</row>
    <row r="759" ht="15.75" customHeight="1" s="108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</row>
    <row r="760" ht="15.75" customHeight="1" s="108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</row>
    <row r="761" ht="15.75" customHeight="1" s="108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</row>
    <row r="762" ht="15.75" customHeight="1" s="108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</row>
    <row r="763" ht="15.75" customHeight="1" s="108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</row>
    <row r="764" ht="15.75" customHeight="1" s="108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</row>
    <row r="765" ht="15.75" customHeight="1" s="108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</row>
    <row r="766" ht="15.75" customHeight="1" s="108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</row>
    <row r="767" ht="15.75" customHeight="1" s="108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</row>
    <row r="768" ht="15.75" customHeight="1" s="10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</row>
    <row r="769" ht="15.75" customHeight="1" s="108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</row>
    <row r="770" ht="15.75" customHeight="1" s="108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</row>
    <row r="771" ht="15.75" customHeight="1" s="108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</row>
    <row r="772" ht="15.75" customHeight="1" s="108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</row>
    <row r="773" ht="15.75" customHeight="1" s="108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</row>
    <row r="774" ht="15.75" customHeight="1" s="108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</row>
    <row r="775" ht="15.75" customHeight="1" s="108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</row>
    <row r="776" ht="15.75" customHeight="1" s="108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</row>
    <row r="777" ht="15.75" customHeight="1" s="108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</row>
    <row r="778" ht="15.75" customHeight="1" s="10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</row>
    <row r="779" ht="15.75" customHeight="1" s="108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</row>
    <row r="780" ht="15.75" customHeight="1" s="108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</row>
    <row r="781" ht="15.75" customHeight="1" s="108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</row>
    <row r="782" ht="15.75" customHeight="1" s="108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</row>
    <row r="783" ht="15.75" customHeight="1" s="108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</row>
    <row r="784" ht="15.75" customHeight="1" s="108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</row>
    <row r="785" ht="15.75" customHeight="1" s="108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</row>
    <row r="786" ht="15.75" customHeight="1" s="108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</row>
    <row r="787" ht="15.75" customHeight="1" s="108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</row>
    <row r="788" ht="15.75" customHeight="1" s="10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</row>
    <row r="789" ht="15.75" customHeight="1" s="108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</row>
    <row r="790" ht="15.75" customHeight="1" s="108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</row>
    <row r="791" ht="15.75" customHeight="1" s="108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</row>
    <row r="792" ht="15.75" customHeight="1" s="108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</row>
    <row r="793" ht="15.75" customHeight="1" s="108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</row>
    <row r="794" ht="15.75" customHeight="1" s="108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</row>
    <row r="795" ht="15.75" customHeight="1" s="108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</row>
    <row r="796" ht="15.75" customHeight="1" s="108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</row>
    <row r="797" ht="15.75" customHeight="1" s="108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</row>
    <row r="798" ht="15.75" customHeight="1" s="10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</row>
    <row r="799" ht="15.75" customHeight="1" s="108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</row>
    <row r="800" ht="15.75" customHeight="1" s="108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</row>
    <row r="801" ht="15.75" customHeight="1" s="108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</row>
    <row r="802" ht="15.75" customHeight="1" s="108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</row>
    <row r="803" ht="15.75" customHeight="1" s="108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</row>
    <row r="804" ht="15.75" customHeight="1" s="108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</row>
    <row r="805" ht="15.75" customHeight="1" s="108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</row>
    <row r="806" ht="15.75" customHeight="1" s="108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</row>
    <row r="807" ht="15.75" customHeight="1" s="108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</row>
    <row r="808" ht="15.75" customHeight="1" s="1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</row>
    <row r="809" ht="15.75" customHeight="1" s="108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</row>
    <row r="810" ht="15.75" customHeight="1" s="108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</row>
    <row r="811" ht="15.75" customHeight="1" s="108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</row>
    <row r="812" ht="15.75" customHeight="1" s="108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</row>
    <row r="813" ht="15.75" customHeight="1" s="108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</row>
    <row r="814" ht="15.75" customHeight="1" s="108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</row>
    <row r="815" ht="15.75" customHeight="1" s="108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</row>
    <row r="816" ht="15.75" customHeight="1" s="108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</row>
    <row r="817" ht="15.75" customHeight="1" s="108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</row>
    <row r="818" ht="15.75" customHeight="1" s="10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</row>
    <row r="819" ht="15.75" customHeight="1" s="108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</row>
    <row r="820" ht="15.75" customHeight="1" s="108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</row>
    <row r="821" ht="15.75" customHeight="1" s="108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</row>
    <row r="822" ht="15.75" customHeight="1" s="108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</row>
    <row r="823" ht="15.75" customHeight="1" s="108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</row>
    <row r="824" ht="15.75" customHeight="1" s="108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</row>
    <row r="825" ht="15.75" customHeight="1" s="108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</row>
    <row r="826" ht="15.75" customHeight="1" s="108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</row>
    <row r="827" ht="15.75" customHeight="1" s="108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</row>
    <row r="828" ht="15.75" customHeight="1" s="10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</row>
    <row r="829" ht="15.75" customHeight="1" s="108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</row>
    <row r="830" ht="15.75" customHeight="1" s="108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</row>
    <row r="831" ht="15.75" customHeight="1" s="108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</row>
    <row r="832" ht="15.75" customHeight="1" s="108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</row>
    <row r="833" ht="15.75" customHeight="1" s="108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</row>
    <row r="834" ht="15.75" customHeight="1" s="108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</row>
    <row r="835" ht="15.75" customHeight="1" s="108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</row>
    <row r="836" ht="15.75" customHeight="1" s="108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</row>
    <row r="837" ht="15.75" customHeight="1" s="108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</row>
    <row r="838" ht="15.75" customHeight="1" s="10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</row>
    <row r="839" ht="15.75" customHeight="1" s="108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</row>
    <row r="840" ht="15.75" customHeight="1" s="108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</row>
    <row r="841" ht="15.75" customHeight="1" s="108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</row>
    <row r="842" ht="15.75" customHeight="1" s="108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</row>
    <row r="843" ht="15.75" customHeight="1" s="108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</row>
    <row r="844" ht="15.75" customHeight="1" s="108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</row>
    <row r="845" ht="15.75" customHeight="1" s="108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</row>
    <row r="846" ht="15.75" customHeight="1" s="108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</row>
    <row r="847" ht="15.75" customHeight="1" s="108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</row>
    <row r="848" ht="15.75" customHeight="1" s="10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</row>
    <row r="849" ht="15.75" customHeight="1" s="108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</row>
    <row r="850" ht="15.75" customHeight="1" s="108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</row>
    <row r="851" ht="15.75" customHeight="1" s="108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</row>
    <row r="852" ht="15.75" customHeight="1" s="108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</row>
    <row r="853" ht="15.75" customHeight="1" s="108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</row>
    <row r="854" ht="15.75" customHeight="1" s="108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</row>
    <row r="855" ht="15.75" customHeight="1" s="108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</row>
    <row r="856" ht="15.75" customHeight="1" s="108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</row>
    <row r="857" ht="15.75" customHeight="1" s="108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</row>
    <row r="858" ht="15.75" customHeight="1" s="10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</row>
    <row r="859" ht="15.75" customHeight="1" s="108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</row>
    <row r="860" ht="15.75" customHeight="1" s="108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</row>
    <row r="861" ht="15.75" customHeight="1" s="108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</row>
    <row r="862" ht="15.75" customHeight="1" s="108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</row>
    <row r="863" ht="15.75" customHeight="1" s="108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</row>
    <row r="864" ht="15.75" customHeight="1" s="108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</row>
    <row r="865" ht="15.75" customHeight="1" s="108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</row>
    <row r="866" ht="15.75" customHeight="1" s="108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</row>
    <row r="867" ht="15.75" customHeight="1" s="108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</row>
    <row r="868" ht="15.75" customHeight="1" s="10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</row>
    <row r="869" ht="15.75" customHeight="1" s="108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</row>
    <row r="870" ht="15.75" customHeight="1" s="108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</row>
    <row r="871" ht="15.75" customHeight="1" s="108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</row>
    <row r="872" ht="15.75" customHeight="1" s="108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</row>
    <row r="873" ht="15.75" customHeight="1" s="108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</row>
    <row r="874" ht="15.75" customHeight="1" s="108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</row>
    <row r="875" ht="15.75" customHeight="1" s="108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</row>
    <row r="876" ht="15.75" customHeight="1" s="108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</row>
    <row r="877" ht="15.75" customHeight="1" s="108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</row>
    <row r="878" ht="15.75" customHeight="1" s="10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</row>
    <row r="879" ht="15.75" customHeight="1" s="108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</row>
    <row r="880" ht="15.75" customHeight="1" s="108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</row>
    <row r="881" ht="15.75" customHeight="1" s="108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</row>
    <row r="882" ht="15.75" customHeight="1" s="108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</row>
    <row r="883" ht="15.75" customHeight="1" s="108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</row>
    <row r="884" ht="15.75" customHeight="1" s="108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</row>
    <row r="885" ht="15.75" customHeight="1" s="108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</row>
    <row r="886" ht="15.75" customHeight="1" s="108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</row>
    <row r="887" ht="15.75" customHeight="1" s="108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</row>
    <row r="888" ht="15.75" customHeight="1" s="10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</row>
    <row r="889" ht="15.75" customHeight="1" s="108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</row>
    <row r="890" ht="15.75" customHeight="1" s="108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</row>
    <row r="891" ht="15.75" customHeight="1" s="108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</row>
    <row r="892" ht="15.75" customHeight="1" s="108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</row>
    <row r="893" ht="15.75" customHeight="1" s="108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</row>
    <row r="894" ht="15.75" customHeight="1" s="108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</row>
    <row r="895" ht="15.75" customHeight="1" s="108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</row>
    <row r="896" ht="15.75" customHeight="1" s="108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</row>
    <row r="897" ht="15.75" customHeight="1" s="108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</row>
    <row r="898" ht="15.75" customHeight="1" s="10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</row>
    <row r="899" ht="15.75" customHeight="1" s="108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</row>
    <row r="900" ht="15.75" customHeight="1" s="108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</row>
    <row r="901" ht="15.75" customHeight="1" s="108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</row>
    <row r="902" ht="15.75" customHeight="1" s="108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</row>
    <row r="903" ht="15.75" customHeight="1" s="108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</row>
    <row r="904" ht="15.75" customHeight="1" s="108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</row>
    <row r="905" ht="15.75" customHeight="1" s="108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</row>
    <row r="906" ht="15.75" customHeight="1" s="108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</row>
    <row r="907" ht="15.75" customHeight="1" s="108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</row>
    <row r="908" ht="15.75" customHeight="1" s="1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</row>
    <row r="909" ht="15.75" customHeight="1" s="108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</row>
    <row r="910" ht="15.75" customHeight="1" s="108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</row>
    <row r="911" ht="15.75" customHeight="1" s="108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</row>
    <row r="912" ht="15.75" customHeight="1" s="108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</row>
    <row r="913" ht="15.75" customHeight="1" s="108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</row>
    <row r="914" ht="15.75" customHeight="1" s="108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</row>
    <row r="915" ht="15.75" customHeight="1" s="108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</row>
    <row r="916" ht="15.75" customHeight="1" s="108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</row>
    <row r="917" ht="15.75" customHeight="1" s="108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</row>
    <row r="918" ht="15.75" customHeight="1" s="10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</row>
    <row r="919" ht="15.75" customHeight="1" s="108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</row>
    <row r="920" ht="15.75" customHeight="1" s="108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</row>
    <row r="921" ht="15.75" customHeight="1" s="108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</row>
    <row r="922" ht="15.75" customHeight="1" s="108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</row>
    <row r="923" ht="15.75" customHeight="1" s="108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</row>
    <row r="924" ht="15.75" customHeight="1" s="108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</row>
    <row r="925" ht="15.75" customHeight="1" s="108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</row>
    <row r="926" ht="15.75" customHeight="1" s="108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</row>
    <row r="927" ht="15.75" customHeight="1" s="108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</row>
    <row r="928" ht="15.75" customHeight="1" s="10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</row>
    <row r="929" ht="15.75" customHeight="1" s="108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</row>
    <row r="930" ht="15.75" customHeight="1" s="108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</row>
    <row r="931" ht="15.75" customHeight="1" s="108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</row>
    <row r="932" ht="15.75" customHeight="1" s="108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</row>
    <row r="933" ht="15.75" customHeight="1" s="108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</row>
    <row r="934" ht="15.75" customHeight="1" s="108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</row>
    <row r="935" ht="15.75" customHeight="1" s="108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</row>
    <row r="936" ht="15.75" customHeight="1" s="108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</row>
    <row r="937" ht="15.75" customHeight="1" s="108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</row>
    <row r="938" ht="15.75" customHeight="1" s="10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</row>
    <row r="939" ht="15.75" customHeight="1" s="108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</row>
    <row r="940" ht="15.75" customHeight="1" s="108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</row>
    <row r="941" ht="15.75" customHeight="1" s="108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</row>
    <row r="942" ht="15.75" customHeight="1" s="108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</row>
    <row r="943" ht="15.75" customHeight="1" s="108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</row>
    <row r="944" ht="15.75" customHeight="1" s="108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</row>
    <row r="945" ht="15.75" customHeight="1" s="108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</row>
    <row r="946" ht="15.75" customHeight="1" s="108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</row>
    <row r="947" ht="15.75" customHeight="1" s="108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</row>
    <row r="948" ht="15.75" customHeight="1" s="10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</row>
    <row r="949" ht="15.75" customHeight="1" s="108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</row>
    <row r="950" ht="15.75" customHeight="1" s="108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</row>
    <row r="951" ht="15.75" customHeight="1" s="108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</row>
    <row r="952" ht="15.75" customHeight="1" s="108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</row>
    <row r="953" ht="15.75" customHeight="1" s="108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</row>
    <row r="954" ht="15.75" customHeight="1" s="108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</row>
    <row r="955" ht="15.75" customHeight="1" s="108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</row>
    <row r="956" ht="15.75" customHeight="1" s="108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</row>
    <row r="957" ht="15.75" customHeight="1" s="108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</row>
    <row r="958" ht="15.75" customHeight="1" s="10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</row>
    <row r="959" ht="15.75" customHeight="1" s="108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</row>
    <row r="960" ht="15.75" customHeight="1" s="108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</row>
    <row r="961" ht="15.75" customHeight="1" s="108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</row>
    <row r="962" ht="15.75" customHeight="1" s="108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</row>
    <row r="963" ht="15.75" customHeight="1" s="108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</row>
    <row r="964" ht="15.75" customHeight="1" s="108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</row>
    <row r="965" ht="15.75" customHeight="1" s="108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</row>
    <row r="966" ht="15.75" customHeight="1" s="108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</row>
    <row r="967" ht="15.75" customHeight="1" s="108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</row>
    <row r="968" ht="15.75" customHeight="1" s="10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</row>
    <row r="969" ht="15.75" customHeight="1" s="108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</row>
    <row r="970" ht="15.75" customHeight="1" s="108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</row>
    <row r="971" ht="15.75" customHeight="1" s="108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</row>
    <row r="972" ht="15.75" customHeight="1" s="108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</row>
    <row r="973" ht="15.75" customHeight="1" s="108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</row>
    <row r="974" ht="15.75" customHeight="1" s="108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</row>
    <row r="975" ht="15.75" customHeight="1" s="108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</row>
    <row r="976" ht="15.75" customHeight="1" s="108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</row>
    <row r="977" ht="15.75" customHeight="1" s="108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</row>
    <row r="978" ht="15.75" customHeight="1" s="10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</row>
    <row r="979" ht="15.75" customHeight="1" s="108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</row>
    <row r="980" ht="15.75" customHeight="1" s="108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</row>
    <row r="981" ht="15.75" customHeight="1" s="108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</row>
    <row r="982" ht="15.75" customHeight="1" s="108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</row>
    <row r="983" ht="15.75" customHeight="1" s="108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</row>
    <row r="984" ht="15.75" customHeight="1" s="108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</row>
    <row r="985" ht="15.75" customHeight="1" s="108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</row>
    <row r="986" ht="15.75" customHeight="1" s="108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</row>
    <row r="987" ht="15.75" customHeight="1" s="108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</row>
    <row r="988" ht="15.75" customHeight="1" s="10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</row>
    <row r="989" ht="15.75" customHeight="1" s="108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</row>
    <row r="990" ht="15.75" customHeight="1" s="108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</row>
    <row r="991" ht="15.75" customHeight="1" s="108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</row>
    <row r="992" ht="15.75" customHeight="1" s="108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</row>
    <row r="993" ht="15.75" customHeight="1" s="108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</row>
    <row r="994" ht="15.75" customHeight="1" s="108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</row>
    <row r="995" ht="15.75" customHeight="1" s="108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</row>
    <row r="996" ht="15.75" customHeight="1" s="108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</row>
    <row r="997" ht="15.75" customHeight="1" s="108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</row>
    <row r="998" ht="15.75" customHeight="1" s="10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</row>
    <row r="999" ht="15.75" customHeight="1" s="108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</row>
    <row r="1000" ht="15.75" customHeight="1" s="108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</row>
    <row r="1001" ht="15.75" customHeight="1" s="108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</row>
  </sheetData>
  <mergeCells count="76">
    <mergeCell ref="I85:K85"/>
    <mergeCell ref="A61:A62"/>
    <mergeCell ref="A82:K82"/>
    <mergeCell ref="I75:K75"/>
    <mergeCell ref="A2:A6"/>
    <mergeCell ref="A73:K73"/>
    <mergeCell ref="K2:K4"/>
    <mergeCell ref="I93:K93"/>
    <mergeCell ref="B12:B15"/>
    <mergeCell ref="E76:H76"/>
    <mergeCell ref="D84:E84"/>
    <mergeCell ref="I87:K87"/>
    <mergeCell ref="A16:A28"/>
    <mergeCell ref="B61:B62"/>
    <mergeCell ref="I71:K71"/>
    <mergeCell ref="A79:B79"/>
    <mergeCell ref="B29:B39"/>
    <mergeCell ref="I92:K92"/>
    <mergeCell ref="A94:K94"/>
    <mergeCell ref="E75:H75"/>
    <mergeCell ref="A88:K88"/>
    <mergeCell ref="B57:B58"/>
    <mergeCell ref="A78:B78"/>
    <mergeCell ref="B86:C86"/>
    <mergeCell ref="A71:C71"/>
    <mergeCell ref="D86:E86"/>
    <mergeCell ref="A69:K69"/>
    <mergeCell ref="A46:A56"/>
    <mergeCell ref="I83:K83"/>
    <mergeCell ref="A75:B75"/>
    <mergeCell ref="I79:K79"/>
    <mergeCell ref="A74:B74"/>
    <mergeCell ref="A91:C91"/>
    <mergeCell ref="A90:K90"/>
    <mergeCell ref="B7:B11"/>
    <mergeCell ref="A29:A39"/>
    <mergeCell ref="I78:K78"/>
    <mergeCell ref="B44:B45"/>
    <mergeCell ref="B87:C87"/>
    <mergeCell ref="A1:J1"/>
    <mergeCell ref="A57:A58"/>
    <mergeCell ref="D87:E87"/>
    <mergeCell ref="B40:B43"/>
    <mergeCell ref="E79:H79"/>
    <mergeCell ref="I84:K84"/>
    <mergeCell ref="A93:C93"/>
    <mergeCell ref="B20:B28"/>
    <mergeCell ref="A76:B76"/>
    <mergeCell ref="A92:C92"/>
    <mergeCell ref="B84:C84"/>
    <mergeCell ref="I74:K74"/>
    <mergeCell ref="B2:B4"/>
    <mergeCell ref="A63:A64"/>
    <mergeCell ref="A65:A67"/>
    <mergeCell ref="B83:C83"/>
    <mergeCell ref="A44:A45"/>
    <mergeCell ref="I86:K86"/>
    <mergeCell ref="D83:E83"/>
    <mergeCell ref="I77:K77"/>
    <mergeCell ref="B63:B64"/>
    <mergeCell ref="E78:H78"/>
    <mergeCell ref="I91:K91"/>
    <mergeCell ref="E74:H74"/>
    <mergeCell ref="I70:K70"/>
    <mergeCell ref="A59:A60"/>
    <mergeCell ref="B85:C85"/>
    <mergeCell ref="A70:C70"/>
    <mergeCell ref="D85:E85"/>
    <mergeCell ref="A7:A15"/>
    <mergeCell ref="B46:B56"/>
    <mergeCell ref="E77:H77"/>
    <mergeCell ref="B16:B19"/>
    <mergeCell ref="B59:B60"/>
    <mergeCell ref="I76:K76"/>
    <mergeCell ref="A77:B77"/>
    <mergeCell ref="A40:A43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2026-03-17T10:39:26Z</dcterms:modified>
</cp:coreProperties>
</file>