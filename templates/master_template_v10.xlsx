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보장분석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;\-#,##0;"/>
    <numFmt numFmtId="165" formatCode="m/d"/>
    <numFmt numFmtId="166" formatCode="#,##0;-#,##0;&quot;&quot;"/>
  </numFmts>
  <fonts count="30">
    <font>
      <name val="Arial"/>
      <color rgb="FF000000"/>
      <sz val="10"/>
      <scheme val="minor"/>
    </font>
    <font>
      <name val="KoPubWorld돋움체 Bold"/>
      <charset val="129"/>
      <family val="3"/>
      <b val="1"/>
      <color rgb="FF1F3864"/>
      <sz val="13"/>
    </font>
    <font>
      <name val="KoPubWorld돋움체 Bold"/>
      <charset val="129"/>
      <family val="3"/>
      <color rgb="FF000000"/>
      <sz val="10"/>
    </font>
    <font>
      <name val="KoPubWorld돋움체 Bold"/>
      <charset val="129"/>
      <family val="3"/>
      <color theme="1"/>
      <sz val="10"/>
    </font>
    <font>
      <name val="KoPubWorld돋움체 Bold"/>
      <charset val="129"/>
      <family val="3"/>
      <b val="1"/>
      <color rgb="FF1F2D3D"/>
      <sz val="9"/>
    </font>
    <font>
      <name val="KoPubWorld돋움체 Bold"/>
      <charset val="129"/>
      <family val="3"/>
      <sz val="10"/>
    </font>
    <font>
      <name val="KoPubWorld돋움체 Bold"/>
      <charset val="129"/>
      <family val="3"/>
      <b val="1"/>
      <color rgb="FF1F3864"/>
      <sz val="12"/>
    </font>
    <font>
      <name val="KoPubWorld돋움체 Bold"/>
      <charset val="129"/>
      <family val="3"/>
      <b val="1"/>
      <color theme="1"/>
      <sz val="10"/>
    </font>
    <font>
      <name val="KoPubWorld돋움체 Bold"/>
      <charset val="129"/>
      <family val="3"/>
      <color rgb="FF1F2D3D"/>
      <sz val="9"/>
    </font>
    <font>
      <name val="KoPubWorld돋움체 Bold"/>
      <charset val="129"/>
      <family val="3"/>
      <b val="1"/>
      <color rgb="FFFFFFFF"/>
      <sz val="11"/>
    </font>
    <font>
      <name val="KoPubWorld돋움체 Bold"/>
      <charset val="129"/>
      <family val="3"/>
      <b val="1"/>
      <color rgb="FFFFFFFF"/>
      <sz val="9"/>
    </font>
    <font>
      <name val="KoPubWorld돋움체 Bold"/>
      <charset val="129"/>
      <family val="3"/>
      <b val="1"/>
      <color rgb="FF595959"/>
      <sz val="8"/>
    </font>
    <font>
      <name val="KoPubWorld돋움체 Bold"/>
      <charset val="129"/>
      <family val="3"/>
      <b val="1"/>
      <color rgb="FF375623"/>
      <sz val="8"/>
    </font>
    <font>
      <name val="KoPubWorld돋움체 Bold"/>
      <charset val="129"/>
      <family val="3"/>
      <b val="1"/>
      <color rgb="FF7F6000"/>
      <sz val="8"/>
    </font>
    <font>
      <name val="KoPubWorld돋움체 Bold"/>
      <charset val="129"/>
      <family val="3"/>
      <b val="1"/>
      <color rgb="FFC00000"/>
      <sz val="8"/>
    </font>
    <font>
      <name val="KoPubWorld돋움체 Bold"/>
      <charset val="129"/>
      <family val="3"/>
      <i val="1"/>
      <color rgb="FF7F6000"/>
      <sz val="8"/>
    </font>
    <font>
      <name val="KoPubWorld돋움체 Bold"/>
      <charset val="129"/>
      <family val="3"/>
      <b val="1"/>
      <color rgb="FFFFFFFF"/>
      <sz val="8"/>
    </font>
    <font>
      <name val="KoPubWorld돋움체 Bold"/>
      <charset val="129"/>
      <family val="3"/>
      <color rgb="FF375623"/>
      <sz val="8"/>
    </font>
    <font>
      <name val="KoPubWorld돋움체 Bold"/>
      <charset val="129"/>
      <family val="3"/>
      <color rgb="FF1F2D3D"/>
      <sz val="8"/>
    </font>
    <font>
      <name val="KoPubWorld돋움체 Bold"/>
      <charset val="129"/>
      <family val="3"/>
      <color rgb="FF7F6000"/>
      <sz val="8"/>
    </font>
    <font>
      <name val="KoPubWorld돋움체 Bold"/>
      <charset val="129"/>
      <family val="3"/>
      <b val="1"/>
      <color rgb="FFFFFFFF"/>
      <sz val="13"/>
    </font>
    <font>
      <name val="Arial"/>
      <charset val="129"/>
      <family val="3"/>
      <sz val="8"/>
      <scheme val="minor"/>
    </font>
    <font>
      <name val="KoPubWorld돋움체 Bold"/>
      <b val="1"/>
      <color rgb="00FFFFFF"/>
      <sz val="13"/>
    </font>
    <font>
      <name val="KoPubWorld돋움체 Bold"/>
      <b val="1"/>
      <color rgb="00000000"/>
      <sz val="9"/>
    </font>
    <font>
      <name val="KoPubWorld돋움체 Bold"/>
      <b val="1"/>
      <color rgb="00000000"/>
      <sz val="10"/>
    </font>
    <font>
      <name val="KoPubWorld돋움체 Bold"/>
      <b val="1"/>
      <color rgb="00595959"/>
      <sz val="8"/>
    </font>
    <font>
      <name val="KoPubWorld돋움체 Bold"/>
      <b val="1"/>
      <color rgb="001F2D3D"/>
      <sz val="8"/>
    </font>
    <font>
      <name val="KoPubWorld돋움체 Bold"/>
      <b val="1"/>
      <color rgb="00FFFFFF"/>
      <sz val="11"/>
    </font>
    <font>
      <name val="KoPubWorld돋움체 Bold"/>
      <b val="1"/>
      <color rgb="00FFFFFF"/>
      <sz val="9"/>
    </font>
    <font>
      <name val="KoPubWorld돋움체 Bold"/>
      <color rgb="007F6000"/>
      <sz val="8"/>
    </font>
  </fonts>
  <fills count="57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5E8D4"/>
        <bgColor rgb="FFD5E8D4"/>
      </patternFill>
    </fill>
    <fill>
      <patternFill patternType="solid">
        <fgColor rgb="FFD0E0E3"/>
        <bgColor rgb="FFD0E0E3"/>
      </patternFill>
    </fill>
    <fill>
      <patternFill patternType="solid">
        <fgColor rgb="FFFCE4D6"/>
        <bgColor rgb="FFFCE4D6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A2C4C9"/>
        <bgColor rgb="FFA2C4C9"/>
      </patternFill>
    </fill>
    <fill>
      <patternFill patternType="solid">
        <fgColor rgb="FFE8DEF8"/>
        <bgColor rgb="FFE8DEF8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DE7"/>
        <bgColor rgb="FFFFFDE7"/>
      </patternFill>
    </fill>
    <fill>
      <patternFill patternType="solid">
        <fgColor rgb="FFFFF0F0"/>
        <bgColor rgb="FFFFF0F0"/>
      </patternFill>
    </fill>
    <fill>
      <patternFill patternType="solid">
        <fgColor rgb="FFD6E4F7"/>
        <bgColor rgb="FFD6E4F7"/>
      </patternFill>
    </fill>
    <fill>
      <patternFill patternType="solid">
        <fgColor rgb="FFF0F7EE"/>
        <bgColor rgb="FFF0F7EE"/>
      </patternFill>
    </fill>
    <fill>
      <patternFill patternType="solid">
        <fgColor rgb="FFEBF3FB"/>
        <bgColor rgb="FFEBF3FB"/>
      </patternFill>
    </fill>
    <fill>
      <patternFill patternType="solid">
        <fgColor rgb="FFFFF8E7"/>
        <bgColor rgb="FFFFF8E7"/>
      </patternFill>
    </fill>
    <fill>
      <patternFill patternType="solid">
        <fgColor rgb="002F5496"/>
        <bgColor rgb="002F5496"/>
      </patternFill>
    </fill>
    <fill>
      <patternFill patternType="solid">
        <fgColor rgb="00E8E4DF"/>
        <bgColor rgb="00E8E4DF"/>
      </patternFill>
    </fill>
    <fill>
      <patternFill patternType="solid">
        <fgColor rgb="00F4F2EF"/>
        <bgColor rgb="00F4F2EF"/>
      </patternFill>
    </fill>
    <fill>
      <patternFill patternType="solid">
        <fgColor rgb="00D6E4F0"/>
        <bgColor rgb="00D6E4F0"/>
      </patternFill>
    </fill>
    <fill>
      <patternFill patternType="solid">
        <fgColor rgb="00E9F0F7"/>
        <bgColor rgb="00E9F0F7"/>
      </patternFill>
    </fill>
    <fill>
      <patternFill patternType="solid">
        <fgColor rgb="00D9EAD3"/>
        <bgColor rgb="00D9EAD3"/>
      </patternFill>
    </fill>
    <fill>
      <patternFill patternType="solid">
        <fgColor rgb="00ECF4E7"/>
        <bgColor rgb="00ECF4E7"/>
      </patternFill>
    </fill>
    <fill>
      <patternFill patternType="solid">
        <fgColor rgb="00E0D5F0"/>
        <bgColor rgb="00E0D5F0"/>
      </patternFill>
    </fill>
    <fill>
      <patternFill patternType="solid">
        <fgColor rgb="00EFE8F7"/>
        <bgColor rgb="00EFE8F7"/>
      </patternFill>
    </fill>
    <fill>
      <patternFill patternType="solid">
        <fgColor rgb="00FAE0D0"/>
        <bgColor rgb="00FAE0D0"/>
      </patternFill>
    </fill>
    <fill>
      <patternFill patternType="solid">
        <fgColor rgb="00FDF0E8"/>
        <bgColor rgb="00FDF0E8"/>
      </patternFill>
    </fill>
    <fill>
      <patternFill patternType="solid">
        <fgColor rgb="00F0D6E4"/>
        <bgColor rgb="00F0D6E4"/>
      </patternFill>
    </fill>
    <fill>
      <patternFill patternType="solid">
        <fgColor rgb="00F7E8F0"/>
        <bgColor rgb="00F7E8F0"/>
      </patternFill>
    </fill>
    <fill>
      <patternFill patternType="solid">
        <fgColor rgb="00F0E4D0"/>
        <bgColor rgb="00F0E4D0"/>
      </patternFill>
    </fill>
    <fill>
      <patternFill patternType="solid">
        <fgColor rgb="00F7F0E4"/>
        <bgColor rgb="00F7F0E4"/>
      </patternFill>
    </fill>
    <fill>
      <patternFill patternType="solid">
        <fgColor rgb="00D0F0E4"/>
        <bgColor rgb="00D0F0E4"/>
      </patternFill>
    </fill>
    <fill>
      <patternFill patternType="solid">
        <fgColor rgb="00E4F7F0"/>
        <bgColor rgb="00E4F7F0"/>
      </patternFill>
    </fill>
    <fill>
      <patternFill patternType="solid">
        <fgColor rgb="00FFF0C0"/>
        <bgColor rgb="00FFF0C0"/>
      </patternFill>
    </fill>
    <fill>
      <patternFill patternType="solid">
        <fgColor rgb="00FFF8E0"/>
        <bgColor rgb="00FFF8E0"/>
      </patternFill>
    </fill>
    <fill>
      <patternFill patternType="solid">
        <fgColor rgb="00F5D0C5"/>
        <bgColor rgb="00F5D0C5"/>
      </patternFill>
    </fill>
    <fill>
      <patternFill patternType="solid">
        <fgColor rgb="00FAE8E2"/>
        <bgColor rgb="00FAE8E2"/>
      </patternFill>
    </fill>
    <fill>
      <patternFill patternType="solid">
        <fgColor rgb="00F2F2F2"/>
        <bgColor rgb="00F2F2F2"/>
      </patternFill>
    </fill>
    <fill>
      <patternFill patternType="solid">
        <fgColor rgb="00FFF0F0"/>
        <bgColor rgb="00FFF0F0"/>
      </patternFill>
    </fill>
    <fill>
      <patternFill patternType="solid">
        <fgColor rgb="00F0F7EE"/>
        <bgColor rgb="00F0F7EE"/>
      </patternFill>
    </fill>
    <fill>
      <patternFill patternType="solid">
        <fgColor rgb="00EBF3FB"/>
        <bgColor rgb="00EBF3FB"/>
      </patternFill>
    </fill>
    <fill>
      <patternFill patternType="solid">
        <fgColor rgb="00FFF8E7"/>
        <bgColor rgb="00FFF8E7"/>
      </patternFill>
    </fill>
    <fill>
      <patternFill patternType="solid">
        <fgColor rgb="00F5F0FA"/>
        <bgColor rgb="00F5F0FA"/>
      </patternFill>
    </fill>
    <fill>
      <patternFill patternType="solid">
        <fgColor rgb="00F0FAFA"/>
        <bgColor rgb="00F0FAFA"/>
      </patternFill>
    </fill>
    <fill>
      <patternFill patternType="solid">
        <fgColor rgb="00F5F5F0"/>
        <bgColor rgb="00F5F5F0"/>
      </patternFill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FFFDE7"/>
        <bgColor rgb="00FFFDE7"/>
      </patternFill>
    </fill>
  </fills>
  <borders count="3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/>
      <top/>
      <bottom style="thin">
        <color rgb="FFFFFFFF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1F3864"/>
      </left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1F3864"/>
      </left>
      <right/>
      <top style="thin">
        <color rgb="FFBFBFBF"/>
      </top>
      <bottom style="thin">
        <color rgb="FFBFBFBF"/>
      </bottom>
      <diagonal/>
    </border>
    <border>
      <left/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BFBFBF"/>
      </top>
      <bottom/>
      <diagonal/>
    </border>
    <border>
      <left/>
      <right style="medium">
        <color rgb="FF1F3864"/>
      </right>
      <top style="thin">
        <color rgb="FFBFBFBF"/>
      </top>
      <bottom/>
      <diagonal/>
    </border>
    <border>
      <left/>
      <right/>
      <top style="thin">
        <color rgb="FF1F3864"/>
      </top>
      <bottom/>
      <diagonal/>
    </border>
    <border>
      <left/>
      <right style="thin">
        <color rgb="FF1F3864"/>
      </right>
      <top style="thin">
        <color rgb="FF1F3864"/>
      </top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medium">
        <color rgb="FF1F3864"/>
      </top>
      <bottom/>
      <diagonal/>
    </border>
    <border>
      <left/>
      <right style="medium">
        <color rgb="FF1F3864"/>
      </right>
      <top style="medium">
        <color rgb="FF1F3864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FFFFFF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22">
    <xf numFmtId="0" fontId="0" fillId="0" borderId="0" pivotButton="0" quotePrefix="0" xfId="0"/>
    <xf numFmtId="3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3" fontId="1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0" fontId="2" fillId="0" borderId="0" pivotButton="0" quotePrefix="0" xfId="0"/>
    <xf numFmtId="3" fontId="4" fillId="0" borderId="1" applyAlignment="1" pivotButton="0" quotePrefix="0" xfId="0">
      <alignment horizontal="center" vertical="center"/>
    </xf>
    <xf numFmtId="3" fontId="4" fillId="2" borderId="2" applyAlignment="1" pivotButton="0" quotePrefix="0" xfId="0">
      <alignment horizontal="center" vertical="center" wrapText="1"/>
    </xf>
    <xf numFmtId="3" fontId="4" fillId="2" borderId="3" applyAlignment="1" pivotButton="0" quotePrefix="0" xfId="0">
      <alignment horizontal="center" vertical="center" wrapText="1"/>
    </xf>
    <xf numFmtId="3" fontId="4" fillId="2" borderId="3" applyAlignment="1" pivotButton="0" quotePrefix="0" xfId="0">
      <alignment horizontal="center" vertical="center"/>
    </xf>
    <xf numFmtId="0" fontId="5" fillId="0" borderId="4" pivotButton="0" quotePrefix="0" xfId="0"/>
    <xf numFmtId="0" fontId="5" fillId="0" borderId="5" pivotButton="0" quotePrefix="0" xfId="0"/>
    <xf numFmtId="0" fontId="5" fillId="0" borderId="6" pivotButton="0" quotePrefix="0" xfId="0"/>
    <xf numFmtId="3" fontId="4" fillId="3" borderId="3" applyAlignment="1" pivotButton="0" quotePrefix="0" xfId="0">
      <alignment horizontal="center" vertical="center" wrapText="1"/>
    </xf>
    <xf numFmtId="3" fontId="4" fillId="3" borderId="3" applyAlignment="1" pivotButton="0" quotePrefix="0" xfId="0">
      <alignment horizontal="center" vertical="center"/>
    </xf>
    <xf numFmtId="164" fontId="4" fillId="3" borderId="3" applyAlignment="1" pivotButton="0" quotePrefix="0" xfId="0">
      <alignment horizontal="center" vertical="center"/>
    </xf>
    <xf numFmtId="0" fontId="5" fillId="0" borderId="7" pivotButton="0" quotePrefix="0" xfId="0"/>
    <xf numFmtId="3" fontId="4" fillId="4" borderId="3" applyAlignment="1" pivotButton="0" quotePrefix="0" xfId="0">
      <alignment horizontal="center" vertical="center" wrapText="1"/>
    </xf>
    <xf numFmtId="3" fontId="4" fillId="4" borderId="3" applyAlignment="1" pivotButton="0" quotePrefix="0" xfId="0">
      <alignment horizontal="center" vertical="center"/>
    </xf>
    <xf numFmtId="165" fontId="4" fillId="4" borderId="3" applyAlignment="1" pivotButton="0" quotePrefix="0" xfId="0">
      <alignment horizontal="center" vertical="center"/>
    </xf>
    <xf numFmtId="164" fontId="4" fillId="4" borderId="3" applyAlignment="1" pivotButton="0" quotePrefix="0" xfId="0">
      <alignment horizontal="center" vertical="center"/>
    </xf>
    <xf numFmtId="3" fontId="6" fillId="0" borderId="2" applyAlignment="1" pivotButton="0" quotePrefix="0" xfId="0">
      <alignment horizontal="center" vertical="center" wrapText="1"/>
    </xf>
    <xf numFmtId="3" fontId="7" fillId="5" borderId="2" applyAlignment="1" pivotButton="0" quotePrefix="0" xfId="0">
      <alignment horizontal="center" vertical="center" wrapText="1"/>
    </xf>
    <xf numFmtId="3" fontId="7" fillId="6" borderId="3" applyAlignment="1" pivotButton="0" quotePrefix="0" xfId="0">
      <alignment horizontal="center" vertical="center" wrapText="1"/>
    </xf>
    <xf numFmtId="3" fontId="3" fillId="6" borderId="3" applyAlignment="1" pivotButton="0" quotePrefix="0" xfId="0">
      <alignment horizontal="center" vertical="center"/>
    </xf>
    <xf numFmtId="164" fontId="4" fillId="5" borderId="3" applyAlignment="1" pivotButton="0" quotePrefix="0" xfId="0">
      <alignment horizontal="center" vertical="center"/>
    </xf>
    <xf numFmtId="3" fontId="7" fillId="7" borderId="2" applyAlignment="1" pivotButton="0" quotePrefix="0" xfId="0">
      <alignment horizontal="center" vertical="center" wrapText="1"/>
    </xf>
    <xf numFmtId="3" fontId="7" fillId="8" borderId="3" applyAlignment="1" pivotButton="0" quotePrefix="0" xfId="0">
      <alignment horizontal="center" vertical="center" wrapText="1"/>
    </xf>
    <xf numFmtId="3" fontId="3" fillId="8" borderId="3" applyAlignment="1" pivotButton="0" quotePrefix="0" xfId="0">
      <alignment horizontal="center" vertical="center"/>
    </xf>
    <xf numFmtId="164" fontId="4" fillId="7" borderId="3" applyAlignment="1" pivotButton="0" quotePrefix="0" xfId="0">
      <alignment horizontal="center" vertical="center"/>
    </xf>
    <xf numFmtId="3" fontId="7" fillId="2" borderId="3" applyAlignment="1" pivotButton="0" quotePrefix="0" xfId="0">
      <alignment horizontal="center" vertical="center" wrapText="1"/>
    </xf>
    <xf numFmtId="3" fontId="3" fillId="2" borderId="3" applyAlignment="1" pivotButton="0" quotePrefix="0" xfId="0">
      <alignment horizontal="center" vertical="center"/>
    </xf>
    <xf numFmtId="3" fontId="7" fillId="9" borderId="2" applyAlignment="1" pivotButton="0" quotePrefix="0" xfId="0">
      <alignment horizontal="center" vertical="center" wrapText="1"/>
    </xf>
    <xf numFmtId="3" fontId="7" fillId="10" borderId="3" applyAlignment="1" pivotButton="0" quotePrefix="0" xfId="0">
      <alignment horizontal="center" vertical="center" wrapText="1"/>
    </xf>
    <xf numFmtId="3" fontId="3" fillId="10" borderId="3" applyAlignment="1" pivotButton="0" quotePrefix="0" xfId="0">
      <alignment horizontal="center" vertical="center"/>
    </xf>
    <xf numFmtId="164" fontId="4" fillId="9" borderId="3" applyAlignment="1" pivotButton="0" quotePrefix="0" xfId="0">
      <alignment horizontal="center" vertical="center"/>
    </xf>
    <xf numFmtId="3" fontId="7" fillId="11" borderId="3" applyAlignment="1" pivotButton="0" quotePrefix="0" xfId="0">
      <alignment horizontal="center" vertical="center" wrapText="1"/>
    </xf>
    <xf numFmtId="3" fontId="3" fillId="11" borderId="3" applyAlignment="1" pivotButton="0" quotePrefix="0" xfId="0">
      <alignment horizontal="center" vertical="center"/>
    </xf>
    <xf numFmtId="3" fontId="7" fillId="12" borderId="3" applyAlignment="1" pivotButton="0" quotePrefix="0" xfId="0">
      <alignment horizontal="center" vertical="center" wrapText="1"/>
    </xf>
    <xf numFmtId="3" fontId="3" fillId="12" borderId="3" applyAlignment="1" pivotButton="0" quotePrefix="0" xfId="0">
      <alignment horizontal="center" vertical="center"/>
    </xf>
    <xf numFmtId="164" fontId="3" fillId="5" borderId="3" applyAlignment="1" pivotButton="0" quotePrefix="0" xfId="0">
      <alignment horizontal="center" vertical="center"/>
    </xf>
    <xf numFmtId="3" fontId="7" fillId="13" borderId="2" applyAlignment="1" pivotButton="0" quotePrefix="0" xfId="0">
      <alignment horizontal="center" vertical="center" wrapText="1"/>
    </xf>
    <xf numFmtId="3" fontId="7" fillId="14" borderId="3" applyAlignment="1" pivotButton="0" quotePrefix="0" xfId="0">
      <alignment horizontal="center" vertical="center" wrapText="1"/>
    </xf>
    <xf numFmtId="3" fontId="3" fillId="14" borderId="3" applyAlignment="1" pivotButton="0" quotePrefix="0" xfId="0">
      <alignment horizontal="center" vertical="center"/>
    </xf>
    <xf numFmtId="164" fontId="4" fillId="13" borderId="3" applyAlignment="1" pivotButton="0" quotePrefix="0" xfId="0">
      <alignment horizontal="center" vertical="center"/>
    </xf>
    <xf numFmtId="3" fontId="8" fillId="0" borderId="2" applyAlignment="1" pivotButton="0" quotePrefix="0" xfId="0">
      <alignment horizontal="center" vertical="center"/>
    </xf>
    <xf numFmtId="3" fontId="7" fillId="15" borderId="3" applyAlignment="1" pivotButton="0" quotePrefix="0" xfId="0">
      <alignment horizontal="center" vertical="center" wrapText="1"/>
    </xf>
    <xf numFmtId="164" fontId="3" fillId="15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3" fontId="7" fillId="15" borderId="0" applyAlignment="1" pivotButton="0" quotePrefix="0" xfId="0">
      <alignment horizontal="center" vertical="center" wrapText="1"/>
    </xf>
    <xf numFmtId="164" fontId="3" fillId="15" borderId="0" applyAlignment="1" pivotButton="0" quotePrefix="0" xfId="0">
      <alignment horizontal="center" vertical="center"/>
    </xf>
    <xf numFmtId="0" fontId="9" fillId="16" borderId="8" applyAlignment="1" pivotButton="0" quotePrefix="0" xfId="0">
      <alignment horizontal="left" vertical="center" wrapText="1"/>
    </xf>
    <xf numFmtId="0" fontId="5" fillId="0" borderId="9" pivotButton="0" quotePrefix="0" xfId="0"/>
    <xf numFmtId="0" fontId="5" fillId="0" borderId="10" pivotButton="0" quotePrefix="0" xfId="0"/>
    <xf numFmtId="0" fontId="10" fillId="17" borderId="11" applyAlignment="1" pivotButton="0" quotePrefix="0" xfId="0">
      <alignment horizontal="center" vertical="center" wrapText="1"/>
    </xf>
    <xf numFmtId="0" fontId="5" fillId="0" borderId="12" pivotButton="0" quotePrefix="0" xfId="0"/>
    <xf numFmtId="0" fontId="5" fillId="0" borderId="13" pivotButton="0" quotePrefix="0" xfId="0"/>
    <xf numFmtId="0" fontId="11" fillId="18" borderId="14" applyAlignment="1" pivotButton="0" quotePrefix="0" xfId="0">
      <alignment horizontal="center" vertical="center" wrapText="1"/>
    </xf>
    <xf numFmtId="0" fontId="12" fillId="7" borderId="14" applyAlignment="1" pivotButton="0" quotePrefix="0" xfId="0">
      <alignment horizontal="center" vertical="center" wrapText="1"/>
    </xf>
    <xf numFmtId="0" fontId="13" fillId="2" borderId="14" applyAlignment="1" pivotButton="0" quotePrefix="0" xfId="0">
      <alignment horizontal="center" vertical="center" wrapText="1"/>
    </xf>
    <xf numFmtId="0" fontId="14" fillId="9" borderId="14" applyAlignment="1" pivotButton="0" quotePrefix="0" xfId="0">
      <alignment horizontal="center" vertical="center" wrapText="1"/>
    </xf>
    <xf numFmtId="0" fontId="15" fillId="19" borderId="15" applyAlignment="1" pivotButton="0" quotePrefix="0" xfId="0">
      <alignment horizontal="left" vertical="center" wrapText="1"/>
    </xf>
    <xf numFmtId="0" fontId="5" fillId="0" borderId="16" pivotButton="0" quotePrefix="0" xfId="0"/>
    <xf numFmtId="0" fontId="5" fillId="0" borderId="17" pivotButton="0" quotePrefix="0" xfId="0"/>
    <xf numFmtId="0" fontId="16" fillId="17" borderId="11" applyAlignment="1" pivotButton="0" quotePrefix="0" xfId="0">
      <alignment horizontal="center" vertical="center" wrapText="1"/>
    </xf>
    <xf numFmtId="0" fontId="14" fillId="20" borderId="14" applyAlignment="1" pivotButton="0" quotePrefix="0" xfId="0">
      <alignment horizontal="center" vertical="center" wrapText="1"/>
    </xf>
    <xf numFmtId="0" fontId="17" fillId="7" borderId="14" applyAlignment="1" pivotButton="0" quotePrefix="0" xfId="0">
      <alignment horizontal="center" vertical="center" wrapText="1"/>
    </xf>
    <xf numFmtId="0" fontId="18" fillId="21" borderId="14" applyAlignment="1" pivotButton="0" quotePrefix="0" xfId="0">
      <alignment horizontal="center" vertical="center" wrapText="1"/>
    </xf>
    <xf numFmtId="0" fontId="19" fillId="2" borderId="14" applyAlignment="1" pivotButton="0" quotePrefix="0" xfId="0">
      <alignment horizontal="center" vertical="center" wrapText="1"/>
    </xf>
    <xf numFmtId="0" fontId="18" fillId="18" borderId="15" applyAlignment="1" pivotButton="0" quotePrefix="0" xfId="0">
      <alignment horizontal="center" vertical="center" wrapText="1"/>
    </xf>
    <xf numFmtId="0" fontId="20" fillId="16" borderId="8" applyAlignment="1" pivotButton="0" quotePrefix="0" xfId="0">
      <alignment horizontal="left" vertical="center" wrapText="1"/>
    </xf>
    <xf numFmtId="0" fontId="10" fillId="17" borderId="18" applyAlignment="1" pivotButton="0" quotePrefix="0" xfId="0">
      <alignment horizontal="center" vertical="center" wrapText="1"/>
    </xf>
    <xf numFmtId="0" fontId="4" fillId="20" borderId="19" applyAlignment="1" pivotButton="0" quotePrefix="0" xfId="0">
      <alignment horizontal="center" vertical="center" wrapText="1"/>
    </xf>
    <xf numFmtId="0" fontId="5" fillId="0" borderId="20" pivotButton="0" quotePrefix="0" xfId="0"/>
    <xf numFmtId="0" fontId="18" fillId="20" borderId="21" applyAlignment="1" pivotButton="0" quotePrefix="0" xfId="0">
      <alignment horizontal="center" vertical="center" wrapText="1"/>
    </xf>
    <xf numFmtId="0" fontId="4" fillId="20" borderId="21" applyAlignment="1" pivotButton="0" quotePrefix="0" xfId="0">
      <alignment horizontal="center" vertical="center" wrapText="1"/>
    </xf>
    <xf numFmtId="0" fontId="18" fillId="15" borderId="19" applyAlignment="1" pivotButton="0" quotePrefix="0" xfId="0">
      <alignment horizontal="left" vertical="center" wrapText="1"/>
    </xf>
    <xf numFmtId="0" fontId="11" fillId="18" borderId="19" applyAlignment="1" pivotButton="0" quotePrefix="0" xfId="0">
      <alignment horizontal="center" vertical="center" wrapText="1"/>
    </xf>
    <xf numFmtId="0" fontId="4" fillId="22" borderId="19" applyAlignment="1" pivotButton="0" quotePrefix="0" xfId="0">
      <alignment horizontal="center" vertical="center" wrapText="1"/>
    </xf>
    <xf numFmtId="0" fontId="18" fillId="22" borderId="21" applyAlignment="1" pivotButton="0" quotePrefix="0" xfId="0">
      <alignment horizontal="center" vertical="center" wrapText="1"/>
    </xf>
    <xf numFmtId="0" fontId="4" fillId="22" borderId="21" applyAlignment="1" pivotButton="0" quotePrefix="0" xfId="0">
      <alignment horizontal="center" vertical="center" wrapText="1"/>
    </xf>
    <xf numFmtId="0" fontId="4" fillId="23" borderId="19" applyAlignment="1" pivotButton="0" quotePrefix="0" xfId="0">
      <alignment horizontal="center" vertical="center" wrapText="1"/>
    </xf>
    <xf numFmtId="0" fontId="18" fillId="23" borderId="21" applyAlignment="1" pivotButton="0" quotePrefix="0" xfId="0">
      <alignment horizontal="center" vertical="center" wrapText="1"/>
    </xf>
    <xf numFmtId="0" fontId="4" fillId="23" borderId="21" applyAlignment="1" pivotButton="0" quotePrefix="0" xfId="0">
      <alignment horizontal="center" vertical="center" wrapText="1"/>
    </xf>
    <xf numFmtId="0" fontId="4" fillId="24" borderId="19" applyAlignment="1" pivotButton="0" quotePrefix="0" xfId="0">
      <alignment horizontal="center" vertical="center" wrapText="1"/>
    </xf>
    <xf numFmtId="0" fontId="18" fillId="24" borderId="21" applyAlignment="1" pivotButton="0" quotePrefix="0" xfId="0">
      <alignment horizontal="center" vertical="center" wrapText="1"/>
    </xf>
    <xf numFmtId="0" fontId="4" fillId="24" borderId="21" applyAlignment="1" pivotButton="0" quotePrefix="0" xfId="0">
      <alignment horizontal="center" vertical="center" wrapText="1"/>
    </xf>
    <xf numFmtId="3" fontId="6" fillId="0" borderId="5" applyAlignment="1" pivotButton="0" quotePrefix="0" xfId="0">
      <alignment horizontal="center" vertical="center" wrapText="1"/>
    </xf>
    <xf numFmtId="0" fontId="5" fillId="0" borderId="5" pivotButton="0" quotePrefix="0" xfId="0"/>
    <xf numFmtId="0" fontId="5" fillId="0" borderId="2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3" fontId="7" fillId="9" borderId="5" applyAlignment="1" pivotButton="0" quotePrefix="0" xfId="0">
      <alignment horizontal="center" vertical="center" wrapText="1"/>
    </xf>
    <xf numFmtId="3" fontId="4" fillId="0" borderId="4" applyAlignment="1" pivotButton="0" quotePrefix="0" xfId="0">
      <alignment horizontal="center" vertical="center"/>
    </xf>
    <xf numFmtId="3" fontId="4" fillId="2" borderId="5" applyAlignment="1" pivotButton="0" quotePrefix="0" xfId="0">
      <alignment horizontal="center" vertical="center" wrapText="1"/>
    </xf>
    <xf numFmtId="3" fontId="22" fillId="25" borderId="0" applyAlignment="1" pivotButton="0" quotePrefix="0" xfId="0">
      <alignment horizontal="center" vertical="center"/>
    </xf>
    <xf numFmtId="0" fontId="22" fillId="25" borderId="0" pivotButton="0" quotePrefix="0" xfId="0"/>
    <xf numFmtId="3" fontId="23" fillId="26" borderId="31" applyAlignment="1" pivotButton="0" quotePrefix="0" xfId="0">
      <alignment horizontal="center" vertical="center"/>
    </xf>
    <xf numFmtId="3" fontId="23" fillId="26" borderId="3" applyAlignment="1" pivotButton="0" quotePrefix="0" xfId="0">
      <alignment horizontal="center" vertical="center" wrapText="1"/>
    </xf>
    <xf numFmtId="3" fontId="23" fillId="26" borderId="3" applyAlignment="1" pivotButton="0" quotePrefix="0" xfId="0">
      <alignment horizontal="center" vertical="center"/>
    </xf>
    <xf numFmtId="0" fontId="23" fillId="27" borderId="4" pivotButton="0" quotePrefix="0" xfId="0"/>
    <xf numFmtId="0" fontId="23" fillId="27" borderId="5" pivotButton="0" quotePrefix="0" xfId="0"/>
    <xf numFmtId="3" fontId="23" fillId="27" borderId="3" applyAlignment="1" pivotButton="0" quotePrefix="0" xfId="0">
      <alignment horizontal="center" vertical="center" wrapText="1"/>
    </xf>
    <xf numFmtId="3" fontId="23" fillId="27" borderId="3" applyAlignment="1" pivotButton="0" quotePrefix="0" xfId="0">
      <alignment horizontal="center" vertical="center"/>
    </xf>
    <xf numFmtId="0" fontId="23" fillId="26" borderId="4" pivotButton="0" quotePrefix="0" xfId="0"/>
    <xf numFmtId="0" fontId="23" fillId="26" borderId="5" pivotButton="0" quotePrefix="0" xfId="0"/>
    <xf numFmtId="0" fontId="23" fillId="26" borderId="6" pivotButton="0" quotePrefix="0" xfId="0"/>
    <xf numFmtId="166" fontId="23" fillId="27" borderId="3" applyAlignment="1" pivotButton="0" quotePrefix="0" xfId="0">
      <alignment horizontal="center" vertical="center"/>
    </xf>
    <xf numFmtId="0" fontId="0" fillId="27" borderId="7" pivotButton="0" quotePrefix="0" xfId="0"/>
    <xf numFmtId="3" fontId="4" fillId="27" borderId="3" applyAlignment="1" pivotButton="0" quotePrefix="0" xfId="0">
      <alignment horizontal="center" vertical="center" wrapText="1"/>
    </xf>
    <xf numFmtId="166" fontId="4" fillId="27" borderId="3" applyAlignment="1" pivotButton="0" quotePrefix="0" xfId="0">
      <alignment horizontal="center" vertical="center"/>
    </xf>
    <xf numFmtId="3" fontId="24" fillId="28" borderId="3" applyAlignment="1" pivotButton="0" quotePrefix="0" xfId="0">
      <alignment horizontal="center" vertical="center" wrapText="1"/>
    </xf>
    <xf numFmtId="166" fontId="24" fillId="28" borderId="3" applyAlignment="1" pivotButton="0" quotePrefix="0" xfId="0">
      <alignment horizontal="center" vertical="center"/>
    </xf>
    <xf numFmtId="0" fontId="24" fillId="29" borderId="5" pivotButton="0" quotePrefix="0" xfId="0"/>
    <xf numFmtId="3" fontId="24" fillId="29" borderId="3" applyAlignment="1" pivotButton="0" quotePrefix="0" xfId="0">
      <alignment horizontal="center" vertical="center" wrapText="1"/>
    </xf>
    <xf numFmtId="166" fontId="24" fillId="29" borderId="3" applyAlignment="1" pivotButton="0" quotePrefix="0" xfId="0">
      <alignment horizontal="center" vertical="center"/>
    </xf>
    <xf numFmtId="0" fontId="24" fillId="28" borderId="5" pivotButton="0" quotePrefix="0" xfId="0"/>
    <xf numFmtId="0" fontId="24" fillId="29" borderId="6" pivotButton="0" quotePrefix="0" xfId="0"/>
    <xf numFmtId="3" fontId="24" fillId="30" borderId="3" applyAlignment="1" pivotButton="0" quotePrefix="0" xfId="0">
      <alignment horizontal="center" vertical="center" wrapText="1"/>
    </xf>
    <xf numFmtId="166" fontId="24" fillId="30" borderId="3" applyAlignment="1" pivotButton="0" quotePrefix="0" xfId="0">
      <alignment horizontal="center" vertical="center"/>
    </xf>
    <xf numFmtId="0" fontId="24" fillId="31" borderId="5" pivotButton="0" quotePrefix="0" xfId="0"/>
    <xf numFmtId="3" fontId="24" fillId="31" borderId="3" applyAlignment="1" pivotButton="0" quotePrefix="0" xfId="0">
      <alignment horizontal="center" vertical="center" wrapText="1"/>
    </xf>
    <xf numFmtId="166" fontId="24" fillId="31" borderId="3" applyAlignment="1" pivotButton="0" quotePrefix="0" xfId="0">
      <alignment horizontal="center" vertical="center"/>
    </xf>
    <xf numFmtId="0" fontId="24" fillId="30" borderId="5" pivotButton="0" quotePrefix="0" xfId="0"/>
    <xf numFmtId="0" fontId="24" fillId="31" borderId="6" pivotButton="0" quotePrefix="0" xfId="0"/>
    <xf numFmtId="0" fontId="24" fillId="30" borderId="6" pivotButton="0" quotePrefix="0" xfId="0"/>
    <xf numFmtId="0" fontId="24" fillId="32" borderId="5" pivotButton="0" quotePrefix="0" xfId="0"/>
    <xf numFmtId="0" fontId="24" fillId="32" borderId="3" applyAlignment="1" pivotButton="0" quotePrefix="0" xfId="0">
      <alignment horizontal="center" vertical="center"/>
    </xf>
    <xf numFmtId="3" fontId="24" fillId="32" borderId="3" applyAlignment="1" pivotButton="0" quotePrefix="0" xfId="0">
      <alignment horizontal="center" vertical="center" wrapText="1"/>
    </xf>
    <xf numFmtId="166" fontId="24" fillId="32" borderId="3" applyAlignment="1" pivotButton="0" quotePrefix="0" xfId="0">
      <alignment horizontal="center" vertical="center"/>
    </xf>
    <xf numFmtId="0" fontId="24" fillId="33" borderId="5" pivotButton="0" quotePrefix="0" xfId="0"/>
    <xf numFmtId="3" fontId="24" fillId="33" borderId="3" applyAlignment="1" pivotButton="0" quotePrefix="0" xfId="0">
      <alignment horizontal="center" vertical="center" wrapText="1"/>
    </xf>
    <xf numFmtId="166" fontId="24" fillId="33" borderId="3" applyAlignment="1" pivotButton="0" quotePrefix="0" xfId="0">
      <alignment horizontal="center" vertical="center"/>
    </xf>
    <xf numFmtId="0" fontId="24" fillId="33" borderId="6" pivotButton="0" quotePrefix="0" xfId="0"/>
    <xf numFmtId="3" fontId="24" fillId="34" borderId="3" applyAlignment="1" pivotButton="0" quotePrefix="0" xfId="0">
      <alignment horizontal="center" vertical="center" wrapText="1"/>
    </xf>
    <xf numFmtId="166" fontId="24" fillId="34" borderId="3" applyAlignment="1" pivotButton="0" quotePrefix="0" xfId="0">
      <alignment horizontal="center" vertical="center"/>
    </xf>
    <xf numFmtId="0" fontId="24" fillId="35" borderId="5" pivotButton="0" quotePrefix="0" xfId="0"/>
    <xf numFmtId="3" fontId="24" fillId="35" borderId="3" applyAlignment="1" pivotButton="0" quotePrefix="0" xfId="0">
      <alignment horizontal="center" vertical="center" wrapText="1"/>
    </xf>
    <xf numFmtId="166" fontId="24" fillId="35" borderId="3" applyAlignment="1" pivotButton="0" quotePrefix="0" xfId="0">
      <alignment horizontal="center" vertical="center"/>
    </xf>
    <xf numFmtId="0" fontId="24" fillId="34" borderId="5" pivotButton="0" quotePrefix="0" xfId="0"/>
    <xf numFmtId="0" fontId="24" fillId="35" borderId="6" pivotButton="0" quotePrefix="0" xfId="0"/>
    <xf numFmtId="3" fontId="24" fillId="34" borderId="2" applyAlignment="1" pivotButton="0" quotePrefix="0" xfId="0">
      <alignment horizontal="center" vertical="center" wrapText="1"/>
    </xf>
    <xf numFmtId="0" fontId="24" fillId="28" borderId="6" pivotButton="0" quotePrefix="0" xfId="0"/>
    <xf numFmtId="3" fontId="24" fillId="36" borderId="3" applyAlignment="1" pivotButton="0" quotePrefix="0" xfId="0">
      <alignment horizontal="center" vertical="center" wrapText="1"/>
    </xf>
    <xf numFmtId="166" fontId="24" fillId="36" borderId="3" applyAlignment="1" pivotButton="0" quotePrefix="0" xfId="0">
      <alignment horizontal="center" vertical="center"/>
    </xf>
    <xf numFmtId="0" fontId="24" fillId="37" borderId="6" pivotButton="0" quotePrefix="0" xfId="0"/>
    <xf numFmtId="3" fontId="24" fillId="37" borderId="3" applyAlignment="1" pivotButton="0" quotePrefix="0" xfId="0">
      <alignment horizontal="center" vertical="center" wrapText="1"/>
    </xf>
    <xf numFmtId="166" fontId="24" fillId="37" borderId="3" applyAlignment="1" pivotButton="0" quotePrefix="0" xfId="0">
      <alignment horizontal="center" vertical="center"/>
    </xf>
    <xf numFmtId="3" fontId="24" fillId="38" borderId="3" applyAlignment="1" pivotButton="0" quotePrefix="0" xfId="0">
      <alignment horizontal="center" vertical="center" wrapText="1"/>
    </xf>
    <xf numFmtId="166" fontId="24" fillId="38" borderId="3" applyAlignment="1" pivotButton="0" quotePrefix="0" xfId="0">
      <alignment horizontal="center" vertical="center"/>
    </xf>
    <xf numFmtId="0" fontId="24" fillId="39" borderId="6" pivotButton="0" quotePrefix="0" xfId="0"/>
    <xf numFmtId="3" fontId="24" fillId="39" borderId="3" applyAlignment="1" pivotButton="0" quotePrefix="0" xfId="0">
      <alignment horizontal="center" vertical="center" wrapText="1"/>
    </xf>
    <xf numFmtId="166" fontId="24" fillId="39" borderId="3" applyAlignment="1" pivotButton="0" quotePrefix="0" xfId="0">
      <alignment horizontal="center" vertical="center"/>
    </xf>
    <xf numFmtId="3" fontId="24" fillId="40" borderId="3" applyAlignment="1" pivotButton="0" quotePrefix="0" xfId="0">
      <alignment horizontal="center" vertical="center" wrapText="1"/>
    </xf>
    <xf numFmtId="166" fontId="24" fillId="40" borderId="3" applyAlignment="1" pivotButton="0" quotePrefix="0" xfId="0">
      <alignment horizontal="center" vertical="center"/>
    </xf>
    <xf numFmtId="0" fontId="24" fillId="41" borderId="6" pivotButton="0" quotePrefix="0" xfId="0"/>
    <xf numFmtId="3" fontId="24" fillId="41" borderId="3" applyAlignment="1" pivotButton="0" quotePrefix="0" xfId="0">
      <alignment horizontal="center" vertical="center" wrapText="1"/>
    </xf>
    <xf numFmtId="166" fontId="24" fillId="41" borderId="3" applyAlignment="1" pivotButton="0" quotePrefix="0" xfId="0">
      <alignment horizontal="center" vertical="center"/>
    </xf>
    <xf numFmtId="3" fontId="24" fillId="42" borderId="3" applyAlignment="1" pivotButton="0" quotePrefix="0" xfId="0">
      <alignment horizontal="center" vertical="center"/>
    </xf>
    <xf numFmtId="3" fontId="24" fillId="42" borderId="3" applyAlignment="1" pivotButton="0" quotePrefix="0" xfId="0">
      <alignment horizontal="center" vertical="center" wrapText="1"/>
    </xf>
    <xf numFmtId="166" fontId="24" fillId="42" borderId="3" applyAlignment="1" pivotButton="0" quotePrefix="0" xfId="0">
      <alignment horizontal="center" vertical="center"/>
    </xf>
    <xf numFmtId="0" fontId="24" fillId="43" borderId="5" pivotButton="0" quotePrefix="0" xfId="0"/>
    <xf numFmtId="3" fontId="24" fillId="43" borderId="3" applyAlignment="1" pivotButton="0" quotePrefix="0" xfId="0">
      <alignment horizontal="center" vertical="center" wrapText="1"/>
    </xf>
    <xf numFmtId="166" fontId="24" fillId="43" borderId="3" applyAlignment="1" pivotButton="0" quotePrefix="0" xfId="0">
      <alignment horizontal="center" vertical="center"/>
    </xf>
    <xf numFmtId="0" fontId="24" fillId="42" borderId="6" pivotButton="0" quotePrefix="0" xfId="0"/>
    <xf numFmtId="164" fontId="3" fillId="15" borderId="0" applyAlignment="1" pivotButton="0" quotePrefix="0" xfId="0">
      <alignment horizontal="center" vertical="center"/>
    </xf>
    <xf numFmtId="0" fontId="9" fillId="16" borderId="27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5" fillId="19" borderId="14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16" fillId="17" borderId="18" applyAlignment="1" pivotButton="0" quotePrefix="0" xfId="0">
      <alignment horizontal="center" vertical="center" wrapText="1"/>
    </xf>
    <xf numFmtId="0" fontId="18" fillId="18" borderId="14" applyAlignment="1" pivotButton="0" quotePrefix="0" xfId="0">
      <alignment horizontal="center" vertical="center" wrapText="1"/>
    </xf>
    <xf numFmtId="0" fontId="20" fillId="16" borderId="27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15" borderId="21" applyAlignment="1" pivotButton="0" quotePrefix="0" xfId="0">
      <alignment horizontal="left" vertical="center" wrapText="1"/>
    </xf>
    <xf numFmtId="0" fontId="11" fillId="18" borderId="2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3" fontId="24" fillId="44" borderId="3" applyAlignment="1" pivotButton="0" quotePrefix="0" xfId="0">
      <alignment horizontal="center" vertical="center" wrapText="1"/>
    </xf>
    <xf numFmtId="166" fontId="24" fillId="44" borderId="3" applyAlignment="1" pivotButton="0" quotePrefix="0" xfId="0">
      <alignment horizontal="center" vertical="center"/>
    </xf>
    <xf numFmtId="0" fontId="24" fillId="45" borderId="6" pivotButton="0" quotePrefix="0" xfId="0"/>
    <xf numFmtId="3" fontId="24" fillId="45" borderId="3" applyAlignment="1" pivotButton="0" quotePrefix="0" xfId="0">
      <alignment horizontal="center" vertical="center" wrapText="1"/>
    </xf>
    <xf numFmtId="166" fontId="24" fillId="45" borderId="3" applyAlignment="1" pivotButton="0" quotePrefix="0" xfId="0">
      <alignment horizontal="center" vertical="center"/>
    </xf>
    <xf numFmtId="0" fontId="25" fillId="46" borderId="14" applyAlignment="1" pivotButton="0" quotePrefix="0" xfId="0">
      <alignment horizontal="center" vertical="center" wrapText="1"/>
    </xf>
    <xf numFmtId="0" fontId="25" fillId="46" borderId="0" applyAlignment="1" pivotButton="0" quotePrefix="0" xfId="0">
      <alignment horizontal="center" vertical="center" wrapText="1"/>
    </xf>
    <xf numFmtId="0" fontId="26" fillId="47" borderId="21" applyAlignment="1" pivotButton="0" quotePrefix="0" xfId="0">
      <alignment vertical="center" wrapText="1"/>
    </xf>
    <xf numFmtId="0" fontId="26" fillId="47" borderId="20" applyAlignment="1" pivotButton="0" quotePrefix="0" xfId="0">
      <alignment vertical="center" wrapText="1"/>
    </xf>
    <xf numFmtId="0" fontId="26" fillId="47" borderId="16" applyAlignment="1" pivotButton="0" quotePrefix="0" xfId="0">
      <alignment vertical="center" wrapText="1"/>
    </xf>
    <xf numFmtId="0" fontId="26" fillId="48" borderId="21" applyAlignment="1" pivotButton="0" quotePrefix="0" xfId="0">
      <alignment vertical="center" wrapText="1"/>
    </xf>
    <xf numFmtId="0" fontId="26" fillId="48" borderId="20" applyAlignment="1" pivotButton="0" quotePrefix="0" xfId="0">
      <alignment vertical="center" wrapText="1"/>
    </xf>
    <xf numFmtId="0" fontId="26" fillId="48" borderId="16" applyAlignment="1" pivotButton="0" quotePrefix="0" xfId="0">
      <alignment vertical="center" wrapText="1"/>
    </xf>
    <xf numFmtId="0" fontId="26" fillId="49" borderId="21" applyAlignment="1" pivotButton="0" quotePrefix="0" xfId="0">
      <alignment vertical="center" wrapText="1"/>
    </xf>
    <xf numFmtId="0" fontId="26" fillId="49" borderId="20" applyAlignment="1" pivotButton="0" quotePrefix="0" xfId="0">
      <alignment vertical="center" wrapText="1"/>
    </xf>
    <xf numFmtId="0" fontId="26" fillId="49" borderId="16" applyAlignment="1" pivotButton="0" quotePrefix="0" xfId="0">
      <alignment vertical="center" wrapText="1"/>
    </xf>
    <xf numFmtId="0" fontId="26" fillId="50" borderId="21" applyAlignment="1" pivotButton="0" quotePrefix="0" xfId="0">
      <alignment vertical="center" wrapText="1"/>
    </xf>
    <xf numFmtId="0" fontId="26" fillId="50" borderId="20" applyAlignment="1" pivotButton="0" quotePrefix="0" xfId="0">
      <alignment vertical="center" wrapText="1"/>
    </xf>
    <xf numFmtId="0" fontId="26" fillId="50" borderId="16" applyAlignment="1" pivotButton="0" quotePrefix="0" xfId="0">
      <alignment vertical="center" wrapText="1"/>
    </xf>
    <xf numFmtId="0" fontId="26" fillId="51" borderId="21" applyAlignment="1" pivotButton="0" quotePrefix="0" xfId="0">
      <alignment vertical="center" wrapText="1"/>
    </xf>
    <xf numFmtId="0" fontId="26" fillId="51" borderId="20" applyAlignment="1" pivotButton="0" quotePrefix="0" xfId="0">
      <alignment vertical="center" wrapText="1"/>
    </xf>
    <xf numFmtId="0" fontId="26" fillId="51" borderId="16" applyAlignment="1" pivotButton="0" quotePrefix="0" xfId="0">
      <alignment vertical="center" wrapText="1"/>
    </xf>
    <xf numFmtId="0" fontId="26" fillId="52" borderId="0" applyAlignment="1" pivotButton="0" quotePrefix="0" xfId="0">
      <alignment vertical="center" wrapText="1"/>
    </xf>
    <xf numFmtId="0" fontId="26" fillId="53" borderId="0" applyAlignment="1" pivotButton="0" quotePrefix="0" xfId="0">
      <alignment vertical="center" wrapText="1"/>
    </xf>
    <xf numFmtId="0" fontId="27" fillId="54" borderId="32" applyAlignment="1" pivotButton="0" quotePrefix="0" xfId="0">
      <alignment horizontal="center" vertical="center" wrapText="1"/>
    </xf>
    <xf numFmtId="0" fontId="28" fillId="55" borderId="32" applyAlignment="1" pivotButton="0" quotePrefix="0" xfId="0">
      <alignment horizontal="center" vertical="center" wrapText="1"/>
    </xf>
    <xf numFmtId="0" fontId="25" fillId="46" borderId="32" applyAlignment="1" pivotButton="0" quotePrefix="0" xfId="0">
      <alignment horizontal="center" vertical="center" wrapText="1"/>
    </xf>
    <xf numFmtId="0" fontId="29" fillId="56" borderId="32" applyAlignment="1" pivotButton="0" quotePrefix="0" xfId="0">
      <alignment horizontal="center" vertical="center" wrapText="1"/>
    </xf>
    <xf numFmtId="0" fontId="22" fillId="54" borderId="32" applyAlignment="1" pivotButton="0" quotePrefix="0" xfId="0">
      <alignment horizontal="center" vertical="center" wrapText="1"/>
    </xf>
    <xf numFmtId="0" fontId="26" fillId="47" borderId="32" applyAlignment="1" pivotButton="0" quotePrefix="0" xfId="0">
      <alignment horizontal="left" vertical="center" wrapText="1"/>
    </xf>
    <xf numFmtId="0" fontId="0" fillId="0" borderId="35" pivotButton="0" quotePrefix="0" xfId="0"/>
    <xf numFmtId="0" fontId="0" fillId="0" borderId="36" pivotButton="0" quotePrefix="0" xfId="0"/>
    <xf numFmtId="0" fontId="26" fillId="48" borderId="32" applyAlignment="1" pivotButton="0" quotePrefix="0" xfId="0">
      <alignment horizontal="left" vertical="center" wrapText="1"/>
    </xf>
    <xf numFmtId="0" fontId="26" fillId="49" borderId="32" applyAlignment="1" pivotButton="0" quotePrefix="0" xfId="0">
      <alignment horizontal="left" vertical="center" wrapText="1"/>
    </xf>
    <xf numFmtId="0" fontId="26" fillId="50" borderId="32" applyAlignment="1" pivotButton="0" quotePrefix="0" xfId="0">
      <alignment horizontal="left" vertical="center" wrapText="1"/>
    </xf>
    <xf numFmtId="0" fontId="26" fillId="51" borderId="32" applyAlignment="1" pivotButton="0" quotePrefix="0" xfId="0">
      <alignment horizontal="left" vertical="center" wrapText="1"/>
    </xf>
    <xf numFmtId="0" fontId="26" fillId="52" borderId="32" applyAlignment="1" pivotButton="0" quotePrefix="0" xfId="0">
      <alignment horizontal="left" vertical="center" wrapText="1"/>
    </xf>
    <xf numFmtId="0" fontId="26" fillId="53" borderId="32" applyAlignment="1" pivotButton="0" quotePrefix="0" xfId="0">
      <alignment horizontal="left" vertical="center" wrapText="1"/>
    </xf>
  </cellXfs>
  <cellStyles count="1">
    <cellStyle name="표준" xfId="0" builtinId="0"/>
  </cellStyles>
  <dxfs count="13"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ont>
        <name val="KoPubWorld돋움체 Bold"/>
        <charset val="129"/>
        <strike val="0"/>
        <outline val="0"/>
        <shadow val="0"/>
        <vertAlign val="baseline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9" defaultPivotStyle="PivotStyleLight16">
    <tableStyle name="보장분석표-style" pivot="0" count="2">
      <tableStyleElement type="firstRowStripe" dxfId="12"/>
      <tableStyleElement type="secondRow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1" displayName="Table_1" ref="C9:J74" headerRowCount="0" headerRowDxfId="2" dataDxfId="0" totalsRowDxfId="1">
  <tableColumns count="8">
    <tableColumn id="1" name="Column1" dataDxfId="10"/>
    <tableColumn id="2" name="Column2" dataDxfId="9"/>
    <tableColumn id="3" name="Column3" dataDxfId="8"/>
    <tableColumn id="4" name="Column4" dataDxfId="7"/>
    <tableColumn id="5" name="Column5" dataDxfId="6"/>
    <tableColumn id="6" name="Column6" dataDxfId="5"/>
    <tableColumn id="7" name="Column7" dataDxfId="4"/>
    <tableColumn id="8" name="Column8" dataDxfId="3"/>
  </tableColumns>
  <tableStyleInfo name="보장분석표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282"/>
  <sheetViews>
    <sheetView tabSelected="1" workbookViewId="0">
      <selection activeCell="H9" sqref="H9"/>
    </sheetView>
  </sheetViews>
  <sheetFormatPr baseColWidth="8" defaultColWidth="12.6640625" defaultRowHeight="15" customHeight="1"/>
  <cols>
    <col hidden="1" width="3" customWidth="1" style="5" min="1" max="1"/>
    <col width="15.88671875" customWidth="1" style="5" min="2" max="2"/>
    <col width="20.21875" customWidth="1" style="5" min="3" max="3"/>
    <col width="15.109375" customWidth="1" style="5" min="4" max="10"/>
    <col width="17.88671875" customWidth="1" style="5" min="11" max="11"/>
    <col width="12.6640625" customWidth="1" style="5" min="12" max="16384"/>
  </cols>
  <sheetData>
    <row r="1" ht="20" customHeight="1">
      <c r="A1" s="95" t="inlineStr">
        <is>
          <t>님(남/여 - 세)을 위한 보장분석</t>
        </is>
      </c>
      <c r="K1" s="95" t="inlineStr">
        <is>
          <t>단위(만원)</t>
        </is>
      </c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" customHeight="1">
      <c r="A2" s="97" t="n"/>
      <c r="B2" s="98" t="inlineStr">
        <is>
          <t>보장내용</t>
        </is>
      </c>
      <c r="C2" s="98" t="inlineStr">
        <is>
          <t>가입회사</t>
        </is>
      </c>
      <c r="D2" s="99" t="n"/>
      <c r="E2" s="99" t="n"/>
      <c r="F2" s="99" t="n"/>
      <c r="G2" s="99" t="n"/>
      <c r="H2" s="99" t="n"/>
      <c r="I2" s="99" t="n"/>
      <c r="J2" s="99" t="n"/>
      <c r="K2" s="98" t="inlineStr">
        <is>
          <t>합계</t>
        </is>
      </c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" customHeight="1">
      <c r="A3" s="180" t="n"/>
      <c r="B3" s="181" t="n"/>
      <c r="C3" s="102" t="inlineStr">
        <is>
          <t>상품명</t>
        </is>
      </c>
      <c r="D3" s="103" t="n"/>
      <c r="E3" s="103" t="n"/>
      <c r="F3" s="103" t="n"/>
      <c r="G3" s="103" t="n"/>
      <c r="H3" s="103" t="n"/>
      <c r="I3" s="103" t="n"/>
      <c r="J3" s="103" t="n"/>
      <c r="K3" s="181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" customHeight="1">
      <c r="A4" s="180" t="n"/>
      <c r="B4" s="181" t="n"/>
      <c r="C4" s="98" t="inlineStr">
        <is>
          <t>가입년,월</t>
        </is>
      </c>
      <c r="D4" s="99" t="n"/>
      <c r="E4" s="99" t="n"/>
      <c r="F4" s="99" t="n"/>
      <c r="G4" s="99" t="n"/>
      <c r="H4" s="99" t="n"/>
      <c r="I4" s="99" t="n"/>
      <c r="J4" s="99" t="n"/>
      <c r="K4" s="181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" customHeight="1">
      <c r="A5" s="180" t="n"/>
      <c r="B5" s="181" t="n"/>
      <c r="C5" s="102" t="inlineStr">
        <is>
          <t>납입기간 (보장기간)</t>
        </is>
      </c>
      <c r="D5" s="103" t="n"/>
      <c r="E5" s="103" t="n"/>
      <c r="F5" s="103" t="n"/>
      <c r="G5" s="103" t="n"/>
      <c r="H5" s="103" t="n"/>
      <c r="I5" s="103" t="n"/>
      <c r="J5" s="103" t="n"/>
      <c r="K5" s="181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" customHeight="1">
      <c r="A6" s="180" t="n"/>
      <c r="B6" s="182" t="n"/>
      <c r="C6" s="98" t="inlineStr">
        <is>
          <t>총납입개월 (남은 개월)</t>
        </is>
      </c>
      <c r="D6" s="99" t="n"/>
      <c r="E6" s="99" t="n"/>
      <c r="F6" s="99" t="n"/>
      <c r="G6" s="99" t="n"/>
      <c r="H6" s="99" t="n"/>
      <c r="I6" s="99" t="n"/>
      <c r="J6" s="99" t="n"/>
      <c r="K6" s="182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" customHeight="1">
      <c r="A7" s="180" t="n"/>
      <c r="B7" s="102" t="inlineStr">
        <is>
          <t>월보험료</t>
        </is>
      </c>
      <c r="C7" s="102" t="n"/>
      <c r="D7" s="107" t="n"/>
      <c r="E7" s="107" t="n"/>
      <c r="F7" s="107" t="n"/>
      <c r="G7" s="107" t="n"/>
      <c r="H7" s="107" t="n"/>
      <c r="I7" s="107" t="n"/>
      <c r="J7" s="107" t="n"/>
      <c r="K7" s="107">
        <f>SUM(D7:J7)</f>
        <v/>
      </c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idden="1" ht="15.75" customHeight="1">
      <c r="A8" s="183" t="n"/>
      <c r="B8" s="109" t="n"/>
      <c r="C8" s="109" t="n"/>
      <c r="D8" s="110" t="n"/>
      <c r="E8" s="110" t="n"/>
      <c r="F8" s="110" t="n"/>
      <c r="G8" s="110" t="n"/>
      <c r="H8" s="110" t="n"/>
      <c r="I8" s="110" t="n"/>
      <c r="J8" s="110" t="n"/>
      <c r="K8" s="110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" customHeight="1">
      <c r="A9" s="111" t="n"/>
      <c r="B9" s="111" t="inlineStr">
        <is>
          <t>사망보장</t>
        </is>
      </c>
      <c r="C9" s="111" t="inlineStr">
        <is>
          <t>일반사망</t>
        </is>
      </c>
      <c r="D9" s="112" t="n"/>
      <c r="E9" s="112" t="n"/>
      <c r="F9" s="112" t="n"/>
      <c r="G9" s="112" t="n"/>
      <c r="H9" s="112" t="n"/>
      <c r="I9" s="112" t="n"/>
      <c r="J9" s="112" t="n"/>
      <c r="K9" s="112">
        <f>SUM(D9:J9)</f>
        <v/>
      </c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" customHeight="1">
      <c r="A10" s="181" t="n"/>
      <c r="B10" s="181" t="n"/>
      <c r="C10" s="114" t="inlineStr">
        <is>
          <t>질병사망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>
        <f>SUM(D10:J10)</f>
        <v/>
      </c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" customHeight="1">
      <c r="A11" s="181" t="n"/>
      <c r="B11" s="181" t="n"/>
      <c r="C11" s="111" t="inlineStr">
        <is>
          <t>암사망</t>
        </is>
      </c>
      <c r="D11" s="112" t="n"/>
      <c r="E11" s="112" t="n"/>
      <c r="F11" s="112" t="n"/>
      <c r="G11" s="112" t="n"/>
      <c r="H11" s="112" t="n"/>
      <c r="I11" s="112" t="n"/>
      <c r="J11" s="112" t="n"/>
      <c r="K11" s="112">
        <f>SUM(D11:J11)</f>
        <v/>
      </c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" customHeight="1">
      <c r="A12" s="181" t="n"/>
      <c r="B12" s="182" t="n"/>
      <c r="C12" s="114" t="inlineStr">
        <is>
          <t>재해사망</t>
        </is>
      </c>
      <c r="D12" s="115" t="n"/>
      <c r="E12" s="115" t="n"/>
      <c r="F12" s="115" t="n"/>
      <c r="G12" s="115" t="n"/>
      <c r="H12" s="115" t="n"/>
      <c r="I12" s="115" t="n"/>
      <c r="J12" s="115" t="n"/>
      <c r="K12" s="115">
        <f>SUM(D12:J12)</f>
        <v/>
      </c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" customHeight="1">
      <c r="A13" s="181" t="n"/>
      <c r="B13" s="111" t="inlineStr">
        <is>
          <t>후유장해</t>
        </is>
      </c>
      <c r="C13" s="111" t="inlineStr">
        <is>
          <t>재해장해 (100%)</t>
        </is>
      </c>
      <c r="D13" s="112" t="n"/>
      <c r="E13" s="112" t="n"/>
      <c r="F13" s="112" t="n"/>
      <c r="G13" s="112" t="n"/>
      <c r="H13" s="112" t="n"/>
      <c r="I13" s="112" t="n"/>
      <c r="J13" s="112" t="n"/>
      <c r="K13" s="112">
        <f>SUM(D13:J13)</f>
        <v/>
      </c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" customHeight="1">
      <c r="A14" s="181" t="n"/>
      <c r="B14" s="181" t="n"/>
      <c r="C14" s="114" t="inlineStr">
        <is>
          <t>재해장해 (3%)</t>
        </is>
      </c>
      <c r="D14" s="115" t="n"/>
      <c r="E14" s="115" t="n"/>
      <c r="F14" s="115" t="n"/>
      <c r="G14" s="115" t="n"/>
      <c r="H14" s="115" t="n"/>
      <c r="I14" s="115" t="n"/>
      <c r="J14" s="115" t="n"/>
      <c r="K14" s="115">
        <f>SUM(D14:J14)</f>
        <v/>
      </c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" customHeight="1">
      <c r="A15" s="181" t="n"/>
      <c r="B15" s="181" t="n"/>
      <c r="C15" s="111" t="inlineStr">
        <is>
          <t>질병장해 (100%)</t>
        </is>
      </c>
      <c r="D15" s="112" t="n"/>
      <c r="E15" s="112" t="n"/>
      <c r="F15" s="112" t="n"/>
      <c r="G15" s="112" t="n"/>
      <c r="H15" s="112" t="n"/>
      <c r="I15" s="112" t="n"/>
      <c r="J15" s="112" t="n"/>
      <c r="K15" s="112">
        <f>SUM(D15:J15)</f>
        <v/>
      </c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" customHeight="1">
      <c r="A16" s="182" t="n"/>
      <c r="B16" s="182" t="n"/>
      <c r="C16" s="114" t="inlineStr">
        <is>
          <t>질병장해 (3%)</t>
        </is>
      </c>
      <c r="D16" s="115" t="n"/>
      <c r="E16" s="115" t="n"/>
      <c r="F16" s="115" t="n"/>
      <c r="G16" s="115" t="n"/>
      <c r="H16" s="115" t="n"/>
      <c r="I16" s="115" t="n"/>
      <c r="J16" s="115" t="n"/>
      <c r="K16" s="115">
        <f>SUM(D16:J16)</f>
        <v/>
      </c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" customHeight="1">
      <c r="A17" s="118" t="n"/>
      <c r="B17" s="118" t="inlineStr">
        <is>
          <t>암진단비</t>
        </is>
      </c>
      <c r="C17" s="118" t="inlineStr">
        <is>
          <t>일반암</t>
        </is>
      </c>
      <c r="D17" s="119" t="n"/>
      <c r="E17" s="119" t="n"/>
      <c r="F17" s="119" t="n"/>
      <c r="G17" s="119" t="n"/>
      <c r="H17" s="119" t="n"/>
      <c r="I17" s="119" t="n"/>
      <c r="J17" s="119" t="n"/>
      <c r="K17" s="119">
        <f>SUM(D17:J17)</f>
        <v/>
      </c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" customHeight="1">
      <c r="A18" s="181" t="n"/>
      <c r="B18" s="181" t="n"/>
      <c r="C18" s="121" t="inlineStr">
        <is>
          <t>남녀특정암</t>
        </is>
      </c>
      <c r="D18" s="122" t="n"/>
      <c r="E18" s="122" t="n"/>
      <c r="F18" s="122" t="n"/>
      <c r="G18" s="122" t="n"/>
      <c r="H18" s="122" t="n"/>
      <c r="I18" s="122" t="n"/>
      <c r="J18" s="122" t="n"/>
      <c r="K18" s="122">
        <f>SUM(D18:J18)</f>
        <v/>
      </c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" customHeight="1">
      <c r="A19" s="181" t="n"/>
      <c r="B19" s="181" t="n"/>
      <c r="C19" s="118" t="inlineStr">
        <is>
          <t>소액암</t>
        </is>
      </c>
      <c r="D19" s="119" t="n"/>
      <c r="E19" s="119" t="n"/>
      <c r="F19" s="119" t="n"/>
      <c r="G19" s="119" t="n"/>
      <c r="H19" s="119" t="n"/>
      <c r="I19" s="119" t="n"/>
      <c r="J19" s="119" t="n"/>
      <c r="K19" s="119">
        <f>SUM(D19:J19)</f>
        <v/>
      </c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" customHeight="1">
      <c r="A20" s="181" t="n"/>
      <c r="B20" s="182" t="n"/>
      <c r="C20" s="121" t="inlineStr">
        <is>
          <t>고액암</t>
        </is>
      </c>
      <c r="D20" s="122" t="n"/>
      <c r="E20" s="122" t="n"/>
      <c r="F20" s="122" t="n"/>
      <c r="G20" s="122" t="n"/>
      <c r="H20" s="122" t="n"/>
      <c r="I20" s="122" t="n"/>
      <c r="J20" s="122" t="n"/>
      <c r="K20" s="122">
        <f>SUM(D20:J20)</f>
        <v/>
      </c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" customHeight="1">
      <c r="A21" s="181" t="n"/>
      <c r="B21" s="118" t="inlineStr">
        <is>
          <t>암치료비
수술비</t>
        </is>
      </c>
      <c r="C21" s="118" t="inlineStr">
        <is>
          <t>항암약물치료비</t>
        </is>
      </c>
      <c r="D21" s="119" t="n"/>
      <c r="E21" s="119" t="n"/>
      <c r="F21" s="119" t="n"/>
      <c r="G21" s="119" t="n"/>
      <c r="H21" s="119" t="n"/>
      <c r="I21" s="119" t="n"/>
      <c r="J21" s="119" t="n"/>
      <c r="K21" s="119">
        <f>SUM(D21:J21)</f>
        <v/>
      </c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" customHeight="1">
      <c r="A22" s="181" t="n"/>
      <c r="B22" s="181" t="n"/>
      <c r="C22" s="121" t="inlineStr">
        <is>
          <t>표적항암약물치료비</t>
        </is>
      </c>
      <c r="D22" s="122" t="n"/>
      <c r="E22" s="122" t="n"/>
      <c r="F22" s="122" t="n"/>
      <c r="G22" s="122" t="n"/>
      <c r="H22" s="122" t="n"/>
      <c r="I22" s="122" t="n"/>
      <c r="J22" s="122" t="n"/>
      <c r="K22" s="122">
        <f>SUM(D22:J22)</f>
        <v/>
      </c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" customHeight="1">
      <c r="A23" s="181" t="n"/>
      <c r="B23" s="181" t="n"/>
      <c r="C23" s="118" t="inlineStr">
        <is>
          <t>카티항암약물치료비</t>
        </is>
      </c>
      <c r="D23" s="119" t="n"/>
      <c r="E23" s="119" t="n"/>
      <c r="F23" s="119" t="n"/>
      <c r="G23" s="119" t="n"/>
      <c r="H23" s="119" t="n"/>
      <c r="I23" s="119" t="n"/>
      <c r="J23" s="119" t="n"/>
      <c r="K23" s="119">
        <f>SUM(D23:J23)</f>
        <v/>
      </c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" customHeight="1">
      <c r="A24" s="181" t="n"/>
      <c r="B24" s="181" t="n"/>
      <c r="C24" s="121" t="inlineStr">
        <is>
          <t>항암방사선치료비</t>
        </is>
      </c>
      <c r="D24" s="122" t="n"/>
      <c r="E24" s="122" t="n"/>
      <c r="F24" s="122" t="n"/>
      <c r="G24" s="122" t="n"/>
      <c r="H24" s="122" t="n"/>
      <c r="I24" s="122" t="n"/>
      <c r="J24" s="122" t="n"/>
      <c r="K24" s="122">
        <f>SUM(D24:J24)</f>
        <v/>
      </c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" customHeight="1">
      <c r="A25" s="181" t="n"/>
      <c r="B25" s="181" t="n"/>
      <c r="C25" s="118" t="inlineStr">
        <is>
          <t>항암세기조절방사선치료</t>
        </is>
      </c>
      <c r="D25" s="119" t="n"/>
      <c r="E25" s="119" t="n"/>
      <c r="F25" s="119" t="n"/>
      <c r="G25" s="119" t="n"/>
      <c r="H25" s="119" t="n"/>
      <c r="I25" s="119" t="n"/>
      <c r="J25" s="119" t="n"/>
      <c r="K25" s="119">
        <f>SUM(D25:J25)</f>
        <v/>
      </c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" customHeight="1">
      <c r="A26" s="181" t="n"/>
      <c r="B26" s="181" t="n"/>
      <c r="C26" s="121" t="inlineStr">
        <is>
          <t>항암양성자방사선치료</t>
        </is>
      </c>
      <c r="D26" s="122" t="n"/>
      <c r="E26" s="122" t="n"/>
      <c r="F26" s="122" t="n"/>
      <c r="G26" s="122" t="n"/>
      <c r="H26" s="122" t="n"/>
      <c r="I26" s="122" t="n"/>
      <c r="J26" s="122" t="n"/>
      <c r="K26" s="122">
        <f>SUM(D26:J26)</f>
        <v/>
      </c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" customHeight="1">
      <c r="A27" s="181" t="n"/>
      <c r="B27" s="181" t="n"/>
      <c r="C27" s="118" t="inlineStr">
        <is>
          <t>항암중입자방사선치료</t>
        </is>
      </c>
      <c r="D27" s="119" t="n"/>
      <c r="E27" s="119" t="n"/>
      <c r="F27" s="119" t="n"/>
      <c r="G27" s="119" t="n"/>
      <c r="H27" s="119" t="n"/>
      <c r="I27" s="119" t="n"/>
      <c r="J27" s="119" t="n"/>
      <c r="K27" s="119">
        <f>SUM(D27:J27)</f>
        <v/>
      </c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" customHeight="1">
      <c r="A28" s="181" t="n"/>
      <c r="B28" s="181" t="n"/>
      <c r="C28" s="121" t="inlineStr">
        <is>
          <t>암수술비</t>
        </is>
      </c>
      <c r="D28" s="122" t="n"/>
      <c r="E28" s="122" t="n"/>
      <c r="F28" s="122" t="n"/>
      <c r="G28" s="122" t="n"/>
      <c r="H28" s="122" t="n"/>
      <c r="I28" s="122" t="n"/>
      <c r="J28" s="122" t="n"/>
      <c r="K28" s="122">
        <f>SUM(D28:J28)</f>
        <v/>
      </c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" customHeight="1">
      <c r="A29" s="181" t="n"/>
      <c r="B29" s="182" t="n"/>
      <c r="C29" s="118" t="inlineStr">
        <is>
          <t>암로봇수술비</t>
        </is>
      </c>
      <c r="D29" s="119" t="n"/>
      <c r="E29" s="119" t="n"/>
      <c r="F29" s="119" t="n"/>
      <c r="G29" s="119" t="n"/>
      <c r="H29" s="119" t="n"/>
      <c r="I29" s="119" t="n"/>
      <c r="J29" s="119" t="n"/>
      <c r="K29" s="119">
        <f>SUM(D29:J29)</f>
        <v/>
      </c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30" customHeight="1">
      <c r="A30" s="181" t="n"/>
      <c r="B30" s="118" t="inlineStr">
        <is>
          <t>암 주요치료비</t>
        </is>
      </c>
      <c r="C30" s="121" t="inlineStr">
        <is>
          <t>상급종합병원암주치 
수술 (연간 1회)</t>
        </is>
      </c>
      <c r="D30" s="122" t="n"/>
      <c r="E30" s="122" t="n"/>
      <c r="F30" s="122" t="n"/>
      <c r="G30" s="122" t="n"/>
      <c r="H30" s="122" t="n"/>
      <c r="I30" s="122" t="n"/>
      <c r="J30" s="122" t="n"/>
      <c r="K30" s="122">
        <f>SUM(D30:J30)</f>
        <v/>
      </c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30" customHeight="1">
      <c r="A31" s="181" t="n"/>
      <c r="B31" s="181" t="n"/>
      <c r="C31" s="118" t="inlineStr">
        <is>
          <t>상급종합병원암주치 
항암약물 (연간 1회)</t>
        </is>
      </c>
      <c r="D31" s="119" t="n"/>
      <c r="E31" s="119" t="n"/>
      <c r="F31" s="119" t="n"/>
      <c r="G31" s="119" t="n"/>
      <c r="H31" s="119" t="n"/>
      <c r="I31" s="119" t="n"/>
      <c r="J31" s="119" t="n"/>
      <c r="K31" s="119">
        <f>SUM(D31:J31)</f>
        <v/>
      </c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30" customHeight="1">
      <c r="A32" s="181" t="n"/>
      <c r="B32" s="181" t="n"/>
      <c r="C32" s="121" t="inlineStr">
        <is>
          <t>상급종합병원암주치 
항암방사선 (연간 1회)</t>
        </is>
      </c>
      <c r="D32" s="122" t="n"/>
      <c r="E32" s="122" t="n"/>
      <c r="F32" s="122" t="n"/>
      <c r="G32" s="122" t="n"/>
      <c r="H32" s="122" t="n"/>
      <c r="I32" s="122" t="n"/>
      <c r="J32" s="122" t="n"/>
      <c r="K32" s="122">
        <f>SUM(D32:J32)</f>
        <v/>
      </c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30" customHeight="1">
      <c r="A33" s="181" t="n"/>
      <c r="B33" s="181" t="n"/>
      <c r="C33" s="118" t="inlineStr">
        <is>
          <t>상급종합병원암주치 
항암복합 (연간 1회)</t>
        </is>
      </c>
      <c r="D33" s="119" t="n"/>
      <c r="E33" s="119" t="n"/>
      <c r="F33" s="119" t="n"/>
      <c r="G33" s="119" t="n"/>
      <c r="H33" s="119" t="n"/>
      <c r="I33" s="119" t="n"/>
      <c r="J33" s="119" t="n"/>
      <c r="K33" s="119">
        <f>SUM(D33:J33)</f>
        <v/>
      </c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30" customHeight="1">
      <c r="A34" s="182" t="n"/>
      <c r="B34" s="182" t="n"/>
      <c r="C34" s="121" t="inlineStr">
        <is>
          <t>비급여 종합병원 
암주요치료비 (연간 1회)</t>
        </is>
      </c>
      <c r="D34" s="122" t="n"/>
      <c r="E34" s="122" t="n"/>
      <c r="F34" s="122" t="n"/>
      <c r="G34" s="122" t="n"/>
      <c r="H34" s="122" t="n"/>
      <c r="I34" s="122" t="n"/>
      <c r="J34" s="122" t="n"/>
      <c r="K34" s="122">
        <f>SUM(D34:J34)</f>
        <v/>
      </c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" customHeight="1">
      <c r="A35" s="126" t="n"/>
      <c r="B35" s="127" t="inlineStr">
        <is>
          <t>CI / 말기</t>
        </is>
      </c>
      <c r="C35" s="128" t="inlineStr">
        <is>
          <t>CI 진단</t>
        </is>
      </c>
      <c r="D35" s="129" t="n"/>
      <c r="E35" s="129" t="n"/>
      <c r="F35" s="129" t="n"/>
      <c r="G35" s="129" t="n"/>
      <c r="H35" s="129" t="n"/>
      <c r="I35" s="129" t="n"/>
      <c r="J35" s="129" t="n"/>
      <c r="K35" s="129">
        <f>SUM(D35:J35)</f>
        <v/>
      </c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" customHeight="1">
      <c r="A36" s="181" t="n"/>
      <c r="B36" s="181" t="n"/>
      <c r="C36" s="131" t="inlineStr">
        <is>
          <t>말기간질환진단</t>
        </is>
      </c>
      <c r="D36" s="132" t="n"/>
      <c r="E36" s="132" t="n"/>
      <c r="F36" s="132" t="n"/>
      <c r="G36" s="132" t="n"/>
      <c r="H36" s="132" t="n"/>
      <c r="I36" s="132" t="n"/>
      <c r="J36" s="132" t="n"/>
      <c r="K36" s="132">
        <f>SUM(D36:J36)</f>
        <v/>
      </c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" customHeight="1">
      <c r="A37" s="181" t="n"/>
      <c r="B37" s="181" t="n"/>
      <c r="C37" s="128" t="inlineStr">
        <is>
          <t>말기폐질환진단</t>
        </is>
      </c>
      <c r="D37" s="129" t="n"/>
      <c r="E37" s="129" t="n"/>
      <c r="F37" s="129" t="n"/>
      <c r="G37" s="129" t="n"/>
      <c r="H37" s="129" t="n"/>
      <c r="I37" s="129" t="n"/>
      <c r="J37" s="129" t="n"/>
      <c r="K37" s="129">
        <f>SUM(D37:J37)</f>
        <v/>
      </c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" customHeight="1">
      <c r="A38" s="181" t="n"/>
      <c r="B38" s="182" t="n"/>
      <c r="C38" s="131" t="inlineStr">
        <is>
          <t>말기신부전질환진단</t>
        </is>
      </c>
      <c r="D38" s="132" t="n"/>
      <c r="E38" s="132" t="n"/>
      <c r="F38" s="132" t="n"/>
      <c r="G38" s="132" t="n"/>
      <c r="H38" s="132" t="n"/>
      <c r="I38" s="132" t="n"/>
      <c r="J38" s="132" t="n"/>
      <c r="K38" s="132">
        <f>SUM(D38:J38)</f>
        <v/>
      </c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" customHeight="1">
      <c r="A39" s="134" t="n"/>
      <c r="B39" s="134" t="inlineStr">
        <is>
          <t>뇌혈관 
심혈관 
진단비 / 수술비</t>
        </is>
      </c>
      <c r="C39" s="134" t="inlineStr">
        <is>
          <t>뇌혈관질환</t>
        </is>
      </c>
      <c r="D39" s="135" t="n"/>
      <c r="E39" s="135" t="n"/>
      <c r="F39" s="135" t="n"/>
      <c r="G39" s="135" t="n"/>
      <c r="H39" s="135" t="n"/>
      <c r="I39" s="135" t="n"/>
      <c r="J39" s="135" t="n"/>
      <c r="K39" s="135">
        <f>SUM(D39:J39)</f>
        <v/>
      </c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" customHeight="1">
      <c r="A40" s="181" t="n"/>
      <c r="B40" s="181" t="n"/>
      <c r="C40" s="137" t="inlineStr">
        <is>
          <t>뇌경색</t>
        </is>
      </c>
      <c r="D40" s="138" t="n"/>
      <c r="E40" s="138" t="n"/>
      <c r="F40" s="138" t="n"/>
      <c r="G40" s="138" t="n"/>
      <c r="H40" s="138" t="n"/>
      <c r="I40" s="138" t="n"/>
      <c r="J40" s="138" t="n"/>
      <c r="K40" s="138">
        <f>SUM(D40:J40)</f>
        <v/>
      </c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" customHeight="1">
      <c r="A41" s="181" t="n"/>
      <c r="B41" s="181" t="n"/>
      <c r="C41" s="134" t="inlineStr">
        <is>
          <t>뇌졸중</t>
        </is>
      </c>
      <c r="D41" s="135" t="n"/>
      <c r="E41" s="135" t="n"/>
      <c r="F41" s="135" t="n"/>
      <c r="G41" s="135" t="n"/>
      <c r="H41" s="135" t="n"/>
      <c r="I41" s="135" t="n"/>
      <c r="J41" s="135" t="n"/>
      <c r="K41" s="135">
        <f>SUM(D41:J41)</f>
        <v/>
      </c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" customHeight="1">
      <c r="A42" s="181" t="n"/>
      <c r="B42" s="181" t="n"/>
      <c r="C42" s="137" t="inlineStr">
        <is>
          <t>뇌출혈</t>
        </is>
      </c>
      <c r="D42" s="138" t="n"/>
      <c r="E42" s="138" t="n"/>
      <c r="F42" s="138" t="n"/>
      <c r="G42" s="138" t="n"/>
      <c r="H42" s="138" t="n"/>
      <c r="I42" s="138" t="n"/>
      <c r="J42" s="138" t="n"/>
      <c r="K42" s="138">
        <f>SUM(D42:J42)</f>
        <v/>
      </c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" customHeight="1">
      <c r="A43" s="181" t="n"/>
      <c r="B43" s="181" t="n"/>
      <c r="C43" s="134" t="inlineStr">
        <is>
          <t>허혈성질환</t>
        </is>
      </c>
      <c r="D43" s="135" t="n"/>
      <c r="E43" s="135" t="n"/>
      <c r="F43" s="135" t="n"/>
      <c r="G43" s="135" t="n"/>
      <c r="H43" s="135" t="n"/>
      <c r="I43" s="135" t="n"/>
      <c r="J43" s="135" t="n"/>
      <c r="K43" s="135">
        <f>SUM(D43:J43)</f>
        <v/>
      </c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" customHeight="1">
      <c r="A44" s="181" t="n"/>
      <c r="B44" s="181" t="n"/>
      <c r="C44" s="137" t="inlineStr">
        <is>
          <t>급성심근경색</t>
        </is>
      </c>
      <c r="D44" s="138" t="n"/>
      <c r="E44" s="138" t="n"/>
      <c r="F44" s="138" t="n"/>
      <c r="G44" s="138" t="n"/>
      <c r="H44" s="138" t="n"/>
      <c r="I44" s="138" t="n"/>
      <c r="J44" s="138" t="n"/>
      <c r="K44" s="138">
        <f>SUM(D44:J44)</f>
        <v/>
      </c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" customHeight="1">
      <c r="A45" s="181" t="n"/>
      <c r="B45" s="181" t="n"/>
      <c r="C45" s="134" t="inlineStr">
        <is>
          <t>뇌혈관수술비</t>
        </is>
      </c>
      <c r="D45" s="135" t="n"/>
      <c r="E45" s="135" t="n"/>
      <c r="F45" s="135" t="n"/>
      <c r="G45" s="135" t="n"/>
      <c r="H45" s="135" t="n"/>
      <c r="I45" s="135" t="n"/>
      <c r="J45" s="135" t="n"/>
      <c r="K45" s="135">
        <f>SUM(D45:J45)</f>
        <v/>
      </c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" customHeight="1">
      <c r="A46" s="181" t="n"/>
      <c r="B46" s="181" t="n"/>
      <c r="C46" s="137" t="inlineStr">
        <is>
          <t>허혈성질환수술비</t>
        </is>
      </c>
      <c r="D46" s="138" t="n"/>
      <c r="E46" s="138" t="n"/>
      <c r="F46" s="138" t="n"/>
      <c r="G46" s="138" t="n"/>
      <c r="H46" s="138" t="n"/>
      <c r="I46" s="138" t="n"/>
      <c r="J46" s="138" t="n"/>
      <c r="K46" s="138">
        <f>SUM(D46:J46)</f>
        <v/>
      </c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" customHeight="1">
      <c r="A47" s="181" t="n"/>
      <c r="B47" s="181" t="n"/>
      <c r="C47" s="134" t="inlineStr">
        <is>
          <t>뇌출혈수술비</t>
        </is>
      </c>
      <c r="D47" s="135" t="n"/>
      <c r="E47" s="135" t="n"/>
      <c r="F47" s="135" t="n"/>
      <c r="G47" s="135" t="n"/>
      <c r="H47" s="135" t="n"/>
      <c r="I47" s="135" t="n"/>
      <c r="J47" s="135" t="n"/>
      <c r="K47" s="135">
        <f>SUM(D47:J47)</f>
        <v/>
      </c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" customHeight="1">
      <c r="A48" s="182" t="n"/>
      <c r="B48" s="182" t="n"/>
      <c r="C48" s="137" t="inlineStr">
        <is>
          <t>급성심근경색수술비</t>
        </is>
      </c>
      <c r="D48" s="138" t="n"/>
      <c r="E48" s="138" t="n"/>
      <c r="F48" s="138" t="n"/>
      <c r="G48" s="138" t="n"/>
      <c r="H48" s="138" t="n"/>
      <c r="I48" s="138" t="n"/>
      <c r="J48" s="138" t="n"/>
      <c r="K48" s="138">
        <f>SUM(D48:J48)</f>
        <v/>
      </c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" customHeight="1">
      <c r="A49" s="141" t="n"/>
      <c r="B49" s="141" t="inlineStr">
        <is>
          <t>수술비</t>
        </is>
      </c>
      <c r="C49" s="134" t="inlineStr">
        <is>
          <t>질병 수술</t>
        </is>
      </c>
      <c r="D49" s="135" t="n"/>
      <c r="E49" s="135" t="n"/>
      <c r="F49" s="135" t="n"/>
      <c r="G49" s="135" t="n"/>
      <c r="H49" s="135" t="n"/>
      <c r="I49" s="135" t="n"/>
      <c r="J49" s="135" t="n"/>
      <c r="K49" s="135">
        <f>SUM(D49:J49)</f>
        <v/>
      </c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" customHeight="1">
      <c r="A50" s="181" t="n"/>
      <c r="B50" s="181" t="n"/>
      <c r="C50" s="137" t="inlineStr">
        <is>
          <t>질병수술비 1-5종</t>
        </is>
      </c>
      <c r="D50" s="138" t="n"/>
      <c r="E50" s="138" t="n"/>
      <c r="F50" s="138" t="n"/>
      <c r="G50" s="138" t="n"/>
      <c r="H50" s="138" t="n"/>
      <c r="I50" s="138" t="n"/>
      <c r="J50" s="138" t="n"/>
      <c r="K50" s="138">
        <f>SUM(D50:J50)</f>
        <v/>
      </c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" customHeight="1">
      <c r="A51" s="181" t="n"/>
      <c r="B51" s="181" t="n"/>
      <c r="C51" s="134" t="inlineStr">
        <is>
          <t>재해수술비 1-5종</t>
        </is>
      </c>
      <c r="D51" s="135" t="n"/>
      <c r="E51" s="135" t="n"/>
      <c r="F51" s="135" t="n"/>
      <c r="G51" s="135" t="n"/>
      <c r="H51" s="135" t="n"/>
      <c r="I51" s="135" t="n"/>
      <c r="J51" s="135" t="n"/>
      <c r="K51" s="135">
        <f>SUM(D51:J51)</f>
        <v/>
      </c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" customHeight="1">
      <c r="A52" s="111" t="n"/>
      <c r="B52" s="111" t="inlineStr">
        <is>
          <t>골절 / 깁스</t>
        </is>
      </c>
      <c r="C52" s="111" t="inlineStr">
        <is>
          <t>골절</t>
        </is>
      </c>
      <c r="D52" s="112" t="n"/>
      <c r="E52" s="112" t="n"/>
      <c r="F52" s="112" t="n"/>
      <c r="G52" s="112" t="n"/>
      <c r="H52" s="112" t="n"/>
      <c r="I52" s="112" t="n"/>
      <c r="J52" s="112" t="n"/>
      <c r="K52" s="112">
        <f>SUM(D52:J52)</f>
        <v/>
      </c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" customHeight="1">
      <c r="A53" s="182" t="n"/>
      <c r="B53" s="182" t="n"/>
      <c r="C53" s="114" t="inlineStr">
        <is>
          <t>깁스</t>
        </is>
      </c>
      <c r="D53" s="115" t="n"/>
      <c r="E53" s="115" t="n"/>
      <c r="F53" s="115" t="n"/>
      <c r="G53" s="115" t="n"/>
      <c r="H53" s="115" t="n"/>
      <c r="I53" s="115" t="n"/>
      <c r="J53" s="115" t="n"/>
      <c r="K53" s="115">
        <f>SUM(D53:J53)</f>
        <v/>
      </c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" customHeight="1">
      <c r="A54" s="111" t="n"/>
      <c r="B54" s="111" t="inlineStr">
        <is>
          <t>입원비 / 통원비</t>
        </is>
      </c>
      <c r="C54" s="111" t="inlineStr">
        <is>
          <t>질병 (1일이상)</t>
        </is>
      </c>
      <c r="D54" s="112" t="n"/>
      <c r="E54" s="112" t="n"/>
      <c r="F54" s="112" t="n"/>
      <c r="G54" s="112" t="n"/>
      <c r="H54" s="112" t="n"/>
      <c r="I54" s="112" t="n"/>
      <c r="J54" s="112" t="n"/>
      <c r="K54" s="112">
        <f>SUM(D54:J54)</f>
        <v/>
      </c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" customHeight="1">
      <c r="A55" s="181" t="n"/>
      <c r="B55" s="181" t="n"/>
      <c r="C55" s="114" t="inlineStr">
        <is>
          <t>재해 (1일이상)</t>
        </is>
      </c>
      <c r="D55" s="115" t="n"/>
      <c r="E55" s="115" t="n"/>
      <c r="F55" s="115" t="n"/>
      <c r="G55" s="115" t="n"/>
      <c r="H55" s="115" t="n"/>
      <c r="I55" s="115" t="n"/>
      <c r="J55" s="115" t="n"/>
      <c r="K55" s="115">
        <f>SUM(D55:J55)</f>
        <v/>
      </c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" customHeight="1">
      <c r="A56" s="181" t="n"/>
      <c r="B56" s="181" t="n"/>
      <c r="C56" s="111" t="inlineStr">
        <is>
          <t>암입원비</t>
        </is>
      </c>
      <c r="D56" s="112" t="n"/>
      <c r="E56" s="112" t="n"/>
      <c r="F56" s="112" t="n"/>
      <c r="G56" s="112" t="n"/>
      <c r="H56" s="112" t="n"/>
      <c r="I56" s="112" t="n"/>
      <c r="J56" s="112" t="n"/>
      <c r="K56" s="112">
        <f>SUM(D56:J56)</f>
        <v/>
      </c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" customHeight="1">
      <c r="A57" s="181" t="n"/>
      <c r="B57" s="181" t="n"/>
      <c r="C57" s="114" t="inlineStr">
        <is>
          <t>종합병원입원비1인실</t>
        </is>
      </c>
      <c r="D57" s="115" t="n"/>
      <c r="E57" s="115" t="n"/>
      <c r="F57" s="115" t="n"/>
      <c r="G57" s="115" t="n"/>
      <c r="H57" s="115" t="n"/>
      <c r="I57" s="115" t="n"/>
      <c r="J57" s="115" t="n"/>
      <c r="K57" s="115">
        <f>SUM(D57:J57)</f>
        <v/>
      </c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" customHeight="1">
      <c r="A58" s="181" t="n"/>
      <c r="B58" s="181" t="n"/>
      <c r="C58" s="111" t="inlineStr">
        <is>
          <t>종합병원입원비2~3인실</t>
        </is>
      </c>
      <c r="D58" s="112" t="n"/>
      <c r="E58" s="112" t="n"/>
      <c r="F58" s="112" t="n"/>
      <c r="G58" s="112" t="n"/>
      <c r="H58" s="112" t="n"/>
      <c r="I58" s="112" t="n"/>
      <c r="J58" s="112" t="n"/>
      <c r="K58" s="112">
        <f>SUM(D58:J58)</f>
        <v/>
      </c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" customHeight="1">
      <c r="A59" s="181" t="n"/>
      <c r="B59" s="181" t="n"/>
      <c r="C59" s="114" t="inlineStr">
        <is>
          <t>상급병원입원비1인실</t>
        </is>
      </c>
      <c r="D59" s="115" t="n"/>
      <c r="E59" s="115" t="n"/>
      <c r="F59" s="115" t="n"/>
      <c r="G59" s="115" t="n"/>
      <c r="H59" s="115" t="n"/>
      <c r="I59" s="115" t="n"/>
      <c r="J59" s="115" t="n"/>
      <c r="K59" s="115">
        <f>SUM(D59:J59)</f>
        <v/>
      </c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" customHeight="1">
      <c r="A60" s="181" t="n"/>
      <c r="B60" s="181" t="n"/>
      <c r="C60" s="111" t="inlineStr">
        <is>
          <t>상급병원입원비2~3인실</t>
        </is>
      </c>
      <c r="D60" s="112" t="n"/>
      <c r="E60" s="112" t="n"/>
      <c r="F60" s="112" t="n"/>
      <c r="G60" s="112" t="n"/>
      <c r="H60" s="112" t="n"/>
      <c r="I60" s="112" t="n"/>
      <c r="J60" s="112" t="n"/>
      <c r="K60" s="112">
        <f>SUM(D60:J60)</f>
        <v/>
      </c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" customHeight="1">
      <c r="A61" s="181" t="n"/>
      <c r="B61" s="181" t="n"/>
      <c r="C61" s="114" t="inlineStr">
        <is>
          <t>중환자실입원비</t>
        </is>
      </c>
      <c r="D61" s="115" t="n"/>
      <c r="E61" s="115" t="n"/>
      <c r="F61" s="115" t="n"/>
      <c r="G61" s="115" t="n"/>
      <c r="H61" s="115" t="n"/>
      <c r="I61" s="115" t="n"/>
      <c r="J61" s="115" t="n"/>
      <c r="K61" s="115">
        <f>SUM(D61:J61)</f>
        <v/>
      </c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" customHeight="1">
      <c r="A62" s="181" t="n"/>
      <c r="B62" s="181" t="n"/>
      <c r="C62" s="111" t="inlineStr">
        <is>
          <t>종합병원통원비</t>
        </is>
      </c>
      <c r="D62" s="112" t="n"/>
      <c r="E62" s="112" t="n"/>
      <c r="F62" s="112" t="n"/>
      <c r="G62" s="112" t="n"/>
      <c r="H62" s="112" t="n"/>
      <c r="I62" s="112" t="n"/>
      <c r="J62" s="112" t="n"/>
      <c r="K62" s="112">
        <f>SUM(D62:J62)</f>
        <v/>
      </c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" customHeight="1">
      <c r="A63" s="181" t="n"/>
      <c r="B63" s="181" t="n"/>
      <c r="C63" s="114" t="inlineStr">
        <is>
          <t>상급종합병원통원비</t>
        </is>
      </c>
      <c r="D63" s="115" t="n"/>
      <c r="E63" s="115" t="n"/>
      <c r="F63" s="115" t="n"/>
      <c r="G63" s="115" t="n"/>
      <c r="H63" s="115" t="n"/>
      <c r="I63" s="115" t="n"/>
      <c r="J63" s="115" t="n"/>
      <c r="K63" s="115">
        <f>SUM(D63:J63)</f>
        <v/>
      </c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" customHeight="1">
      <c r="A64" s="182" t="n"/>
      <c r="B64" s="182" t="n"/>
      <c r="C64" s="111" t="inlineStr">
        <is>
          <t>상급종합병원암통원비</t>
        </is>
      </c>
      <c r="D64" s="112" t="n"/>
      <c r="E64" s="112" t="n"/>
      <c r="F64" s="112" t="n"/>
      <c r="G64" s="112" t="n"/>
      <c r="H64" s="112" t="n"/>
      <c r="I64" s="112" t="n"/>
      <c r="J64" s="112" t="n"/>
      <c r="K64" s="112">
        <f>SUM(D64:J64)</f>
        <v/>
      </c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" customHeight="1">
      <c r="A65" s="184" t="n"/>
      <c r="B65" s="184" t="inlineStr">
        <is>
          <t>치매보장</t>
        </is>
      </c>
      <c r="C65" s="184" t="inlineStr">
        <is>
          <t>경증치매</t>
        </is>
      </c>
      <c r="D65" s="185" t="n"/>
      <c r="E65" s="185" t="n"/>
      <c r="F65" s="185" t="n"/>
      <c r="G65" s="185" t="n"/>
      <c r="H65" s="185" t="n"/>
      <c r="I65" s="185" t="n"/>
      <c r="J65" s="185" t="n"/>
      <c r="K65" s="185">
        <f>SUM(D65:J65)</f>
        <v/>
      </c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" customHeight="1">
      <c r="A66" s="182" t="n"/>
      <c r="B66" s="182" t="n"/>
      <c r="C66" s="187" t="inlineStr">
        <is>
          <t>중증치매</t>
        </is>
      </c>
      <c r="D66" s="188" t="n"/>
      <c r="E66" s="188" t="n"/>
      <c r="F66" s="188" t="n"/>
      <c r="G66" s="188" t="n"/>
      <c r="H66" s="188" t="n"/>
      <c r="I66" s="188" t="n"/>
      <c r="J66" s="188" t="n"/>
      <c r="K66" s="188">
        <f>SUM(D66:J66)</f>
        <v/>
      </c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" customHeight="1">
      <c r="A67" s="148" t="n"/>
      <c r="B67" s="148" t="inlineStr">
        <is>
          <t>간병비</t>
        </is>
      </c>
      <c r="C67" s="148" t="inlineStr">
        <is>
          <t>간병비(질병)</t>
        </is>
      </c>
      <c r="D67" s="149" t="n"/>
      <c r="E67" s="149" t="n"/>
      <c r="F67" s="149" t="n"/>
      <c r="G67" s="149" t="n"/>
      <c r="H67" s="149" t="n"/>
      <c r="I67" s="149" t="n"/>
      <c r="J67" s="149" t="n"/>
      <c r="K67" s="149">
        <f>SUM(D67:J67)</f>
        <v/>
      </c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" customHeight="1">
      <c r="A68" s="182" t="n"/>
      <c r="B68" s="182" t="n"/>
      <c r="C68" s="151" t="inlineStr">
        <is>
          <t>간병비(상해)</t>
        </is>
      </c>
      <c r="D68" s="152" t="n"/>
      <c r="E68" s="152" t="n"/>
      <c r="F68" s="152" t="n"/>
      <c r="G68" s="152" t="n"/>
      <c r="H68" s="152" t="n"/>
      <c r="I68" s="152" t="n"/>
      <c r="J68" s="152" t="n"/>
      <c r="K68" s="152">
        <f>SUM(D68:J68)</f>
        <v/>
      </c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" customHeight="1">
      <c r="A69" s="153" t="n"/>
      <c r="B69" s="153" t="inlineStr">
        <is>
          <t>치아</t>
        </is>
      </c>
      <c r="C69" s="153" t="inlineStr">
        <is>
          <t>치아보철치료비</t>
        </is>
      </c>
      <c r="D69" s="154" t="n"/>
      <c r="E69" s="154" t="n"/>
      <c r="F69" s="154" t="n"/>
      <c r="G69" s="154" t="n"/>
      <c r="H69" s="154" t="n"/>
      <c r="I69" s="154" t="n"/>
      <c r="J69" s="154" t="n"/>
      <c r="K69" s="154">
        <f>SUM(D69:J69)</f>
        <v/>
      </c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" customHeight="1">
      <c r="A70" s="182" t="n"/>
      <c r="B70" s="182" t="n"/>
      <c r="C70" s="156" t="inlineStr">
        <is>
          <t>치아보존치료비</t>
        </is>
      </c>
      <c r="D70" s="157" t="n"/>
      <c r="E70" s="157" t="n"/>
      <c r="F70" s="157" t="n"/>
      <c r="G70" s="157" t="n"/>
      <c r="H70" s="157" t="n"/>
      <c r="I70" s="157" t="n"/>
      <c r="J70" s="157" t="n"/>
      <c r="K70" s="157">
        <f>SUM(D70:J70)</f>
        <v/>
      </c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" customHeight="1">
      <c r="A71" s="118" t="n"/>
      <c r="B71" s="118" t="inlineStr">
        <is>
          <t>실손의료비</t>
        </is>
      </c>
      <c r="C71" s="118" t="inlineStr">
        <is>
          <t>질병입원</t>
        </is>
      </c>
      <c r="D71" s="119" t="n"/>
      <c r="E71" s="119" t="n"/>
      <c r="F71" s="119" t="n"/>
      <c r="G71" s="119" t="n"/>
      <c r="H71" s="119" t="n"/>
      <c r="I71" s="119" t="n"/>
      <c r="J71" s="119" t="n"/>
      <c r="K71" s="119">
        <f>SUM(D71:J71)</f>
        <v/>
      </c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" customHeight="1">
      <c r="A72" s="181" t="n"/>
      <c r="B72" s="181" t="n"/>
      <c r="C72" s="121" t="inlineStr">
        <is>
          <t>질병통원</t>
        </is>
      </c>
      <c r="D72" s="122" t="n"/>
      <c r="E72" s="122" t="n"/>
      <c r="F72" s="122" t="n"/>
      <c r="G72" s="122" t="n"/>
      <c r="H72" s="122" t="n"/>
      <c r="I72" s="122" t="n"/>
      <c r="J72" s="122" t="n"/>
      <c r="K72" s="122">
        <f>SUM(D72:J72)</f>
        <v/>
      </c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" customHeight="1">
      <c r="A73" s="181" t="n"/>
      <c r="B73" s="181" t="n"/>
      <c r="C73" s="118" t="inlineStr">
        <is>
          <t>상해입원</t>
        </is>
      </c>
      <c r="D73" s="119" t="n"/>
      <c r="E73" s="119" t="n"/>
      <c r="F73" s="119" t="n"/>
      <c r="G73" s="119" t="n"/>
      <c r="H73" s="119" t="n"/>
      <c r="I73" s="119" t="n"/>
      <c r="J73" s="119" t="n"/>
      <c r="K73" s="119">
        <f>SUM(D73:J73)</f>
        <v/>
      </c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" customHeight="1">
      <c r="A74" s="182" t="n"/>
      <c r="B74" s="182" t="n"/>
      <c r="C74" s="121" t="inlineStr">
        <is>
          <t>상해통원</t>
        </is>
      </c>
      <c r="D74" s="122" t="n"/>
      <c r="E74" s="122" t="n"/>
      <c r="F74" s="122" t="n"/>
      <c r="G74" s="122" t="n"/>
      <c r="H74" s="122" t="n"/>
      <c r="I74" s="122" t="n"/>
      <c r="J74" s="122" t="n"/>
      <c r="K74" s="122">
        <f>SUM(D74:J74)</f>
        <v/>
      </c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" customHeight="1">
      <c r="A75" s="158" t="n"/>
      <c r="B75" s="159" t="inlineStr">
        <is>
          <t>기납입보험료</t>
        </is>
      </c>
      <c r="C75" s="159" t="n"/>
      <c r="D75" s="160" t="n">
        <v>0</v>
      </c>
      <c r="E75" s="160" t="n"/>
      <c r="F75" s="160" t="n"/>
      <c r="G75" s="160" t="n"/>
      <c r="H75" s="160" t="n"/>
      <c r="I75" s="160" t="n"/>
      <c r="J75" s="160" t="n"/>
      <c r="K75" s="160">
        <f>SUM(D75:J75)</f>
        <v/>
      </c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" customHeight="1">
      <c r="A76" s="181" t="n"/>
      <c r="B76" s="162" t="inlineStr">
        <is>
          <t>납입할보험료</t>
        </is>
      </c>
      <c r="C76" s="162" t="n"/>
      <c r="D76" s="163" t="n">
        <v>0</v>
      </c>
      <c r="E76" s="163" t="n"/>
      <c r="F76" s="163" t="n"/>
      <c r="G76" s="163" t="n"/>
      <c r="H76" s="163" t="n"/>
      <c r="I76" s="163" t="n"/>
      <c r="J76" s="163" t="n"/>
      <c r="K76" s="163">
        <f>SUM(D76:J76)</f>
        <v/>
      </c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" customHeight="1">
      <c r="A77" s="182" t="n"/>
      <c r="B77" s="159" t="inlineStr">
        <is>
          <t>총납입보험료</t>
        </is>
      </c>
      <c r="C77" s="159" t="n"/>
      <c r="D77" s="160">
        <f>D75+D76</f>
        <v/>
      </c>
      <c r="E77" s="160">
        <f>E75+E76</f>
        <v/>
      </c>
      <c r="F77" s="160">
        <f>F75+F76</f>
        <v/>
      </c>
      <c r="G77" s="160">
        <f>G75+G76</f>
        <v/>
      </c>
      <c r="H77" s="160">
        <f>H75+H76</f>
        <v/>
      </c>
      <c r="I77" s="160">
        <f>I75+I76</f>
        <v/>
      </c>
      <c r="J77" s="160">
        <f>J75+J76</f>
        <v/>
      </c>
      <c r="K77" s="160">
        <f>SUM(D77:J77)</f>
        <v/>
      </c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>
      <c r="A78" s="48" t="n"/>
      <c r="B78" s="49" t="n"/>
      <c r="C78" s="49" t="n"/>
      <c r="D78" s="165" t="n"/>
      <c r="E78" s="165" t="n"/>
      <c r="F78" s="165" t="n"/>
      <c r="G78" s="165" t="n"/>
      <c r="H78" s="165" t="n"/>
      <c r="I78" s="165" t="n"/>
      <c r="J78" s="165" t="n"/>
      <c r="K78" s="165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22" customHeight="1">
      <c r="A79" s="208" t="inlineStr">
        <is>
          <t>🔄  갱신형 / 비갱신형 구분</t>
        </is>
      </c>
      <c r="B79" s="208" t="n"/>
      <c r="C79" s="208" t="n"/>
      <c r="D79" s="208" t="n"/>
      <c r="E79" s="208" t="n"/>
      <c r="F79" s="208" t="n"/>
      <c r="G79" s="208" t="n"/>
      <c r="H79" s="208" t="n"/>
      <c r="I79" s="208" t="n"/>
      <c r="J79" s="208" t="n"/>
      <c r="K79" s="208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22" customHeight="1">
      <c r="A80" s="209" t="inlineStr">
        <is>
          <t>갱신 구분</t>
        </is>
      </c>
      <c r="B80" s="209" t="n"/>
      <c r="C80" s="209" t="n"/>
      <c r="D80" s="210" t="n"/>
      <c r="E80" s="210" t="n"/>
      <c r="F80" s="210" t="n"/>
      <c r="G80" s="210" t="n"/>
      <c r="H80" s="210" t="n"/>
      <c r="I80" s="210" t="n"/>
      <c r="J80" s="210" t="n"/>
      <c r="K80" s="211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26" customHeight="1">
      <c r="A81" s="209" t="inlineStr">
        <is>
          <t>보험료
변화 예고</t>
        </is>
      </c>
      <c r="B81" s="209" t="n"/>
      <c r="C81" s="209" t="n"/>
      <c r="D81" s="210" t="n"/>
      <c r="E81" s="210" t="n"/>
      <c r="F81" s="210" t="n"/>
      <c r="G81" s="210" t="n"/>
      <c r="H81" s="210" t="n"/>
      <c r="I81" s="210" t="n"/>
      <c r="J81" s="210" t="n"/>
      <c r="K81" s="211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7.5" customHeight="1"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28" customHeight="1">
      <c r="A83" s="212" t="inlineStr">
        <is>
          <t>📋  현재 유지중인 보험 리뷰</t>
        </is>
      </c>
      <c r="B83" s="212" t="n"/>
      <c r="C83" s="212" t="n"/>
      <c r="D83" s="212" t="n"/>
      <c r="E83" s="212" t="n"/>
      <c r="F83" s="212" t="n"/>
      <c r="G83" s="212" t="n"/>
      <c r="H83" s="212" t="n"/>
      <c r="I83" s="212" t="n"/>
      <c r="J83" s="212" t="n"/>
      <c r="K83" s="212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20" customHeight="1">
      <c r="A84" s="209" t="inlineStr">
        <is>
          <t>보험사 / 상품명</t>
        </is>
      </c>
      <c r="B84" s="209" t="n"/>
      <c r="C84" s="209" t="inlineStr">
        <is>
          <t>가입일 / 만기</t>
        </is>
      </c>
      <c r="D84" s="209" t="inlineStr">
        <is>
          <t>월 보험료</t>
        </is>
      </c>
      <c r="E84" s="209" t="inlineStr">
        <is>
          <t>주요 체크사항</t>
        </is>
      </c>
      <c r="F84" s="209" t="n"/>
      <c r="G84" s="209" t="n"/>
      <c r="H84" s="209" t="n"/>
      <c r="I84" s="209" t="inlineStr">
        <is>
          <t>특이사항 (면책기간, 보장범위 등)</t>
        </is>
      </c>
      <c r="J84" s="209" t="n"/>
      <c r="K84" s="209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70" customHeight="1">
      <c r="A85" s="213" t="n"/>
      <c r="B85" s="214" t="n"/>
      <c r="C85" s="213" t="n"/>
      <c r="D85" s="213" t="n"/>
      <c r="E85" s="213" t="n"/>
      <c r="F85" s="215" t="n"/>
      <c r="G85" s="215" t="n"/>
      <c r="H85" s="214" t="n"/>
      <c r="I85" s="213" t="n"/>
      <c r="J85" s="215" t="n"/>
      <c r="K85" s="21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70" customHeight="1">
      <c r="A86" s="216" t="n"/>
      <c r="B86" s="214" t="n"/>
      <c r="C86" s="216" t="n"/>
      <c r="D86" s="216" t="n"/>
      <c r="E86" s="216" t="n"/>
      <c r="F86" s="215" t="n"/>
      <c r="G86" s="215" t="n"/>
      <c r="H86" s="214" t="n"/>
      <c r="I86" s="216" t="n"/>
      <c r="J86" s="215" t="n"/>
      <c r="K86" s="21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70" customHeight="1">
      <c r="A87" s="217" t="n"/>
      <c r="B87" s="214" t="n"/>
      <c r="C87" s="217" t="n"/>
      <c r="D87" s="217" t="n"/>
      <c r="E87" s="217" t="n"/>
      <c r="F87" s="215" t="n"/>
      <c r="G87" s="215" t="n"/>
      <c r="H87" s="214" t="n"/>
      <c r="I87" s="217" t="n"/>
      <c r="J87" s="215" t="n"/>
      <c r="K87" s="21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70" customHeight="1">
      <c r="A88" s="218" t="n"/>
      <c r="B88" s="214" t="n"/>
      <c r="C88" s="218" t="n"/>
      <c r="D88" s="218" t="n"/>
      <c r="E88" s="218" t="n"/>
      <c r="F88" s="215" t="n"/>
      <c r="G88" s="215" t="n"/>
      <c r="H88" s="214" t="n"/>
      <c r="I88" s="218" t="n"/>
      <c r="J88" s="215" t="n"/>
      <c r="K88" s="21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70" customHeight="1">
      <c r="A89" s="219" t="n"/>
      <c r="B89" s="214" t="n"/>
      <c r="C89" s="219" t="n"/>
      <c r="D89" s="219" t="n"/>
      <c r="E89" s="219" t="n"/>
      <c r="F89" s="215" t="n"/>
      <c r="G89" s="215" t="n"/>
      <c r="H89" s="214" t="n"/>
      <c r="I89" s="219" t="n"/>
      <c r="J89" s="215" t="n"/>
      <c r="K89" s="21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70" customHeight="1">
      <c r="A90" s="220" t="n"/>
      <c r="B90" s="214" t="n"/>
      <c r="C90" s="220" t="n"/>
      <c r="D90" s="220" t="n"/>
      <c r="E90" s="220" t="n"/>
      <c r="F90" s="215" t="n"/>
      <c r="G90" s="215" t="n"/>
      <c r="H90" s="214" t="n"/>
      <c r="I90" s="220" t="n"/>
      <c r="J90" s="215" t="n"/>
      <c r="K90" s="21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70" customHeight="1">
      <c r="A91" s="221" t="n"/>
      <c r="B91" s="214" t="n"/>
      <c r="C91" s="221" t="n"/>
      <c r="D91" s="221" t="n"/>
      <c r="E91" s="221" t="n"/>
      <c r="F91" s="215" t="n"/>
      <c r="G91" s="215" t="n"/>
      <c r="H91" s="214" t="n"/>
      <c r="I91" s="221" t="n"/>
      <c r="J91" s="215" t="n"/>
      <c r="K91" s="21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58">
    <mergeCell ref="I85:K85"/>
    <mergeCell ref="A83:K83"/>
    <mergeCell ref="B49:B51"/>
    <mergeCell ref="A80:C80"/>
    <mergeCell ref="B52:B53"/>
    <mergeCell ref="E91:H91"/>
    <mergeCell ref="A69:A70"/>
    <mergeCell ref="E85:H85"/>
    <mergeCell ref="A2:A8"/>
    <mergeCell ref="I87:K87"/>
    <mergeCell ref="A88:B88"/>
    <mergeCell ref="B71:B74"/>
    <mergeCell ref="A9:A16"/>
    <mergeCell ref="A79:K79"/>
    <mergeCell ref="B67:B68"/>
    <mergeCell ref="A87:B87"/>
    <mergeCell ref="A65:A66"/>
    <mergeCell ref="B35:B38"/>
    <mergeCell ref="B17:B20"/>
    <mergeCell ref="A17:A34"/>
    <mergeCell ref="B30:B34"/>
    <mergeCell ref="A39:A48"/>
    <mergeCell ref="A90:B90"/>
    <mergeCell ref="B69:B70"/>
    <mergeCell ref="A84:B84"/>
    <mergeCell ref="A89:B89"/>
    <mergeCell ref="I88:K88"/>
    <mergeCell ref="A49:A51"/>
    <mergeCell ref="A71:A74"/>
    <mergeCell ref="A81:C81"/>
    <mergeCell ref="B13:B16"/>
    <mergeCell ref="A1:J1"/>
    <mergeCell ref="A86:B86"/>
    <mergeCell ref="B65:B66"/>
    <mergeCell ref="B9:B12"/>
    <mergeCell ref="B39:B48"/>
    <mergeCell ref="I84:K84"/>
    <mergeCell ref="E88:H88"/>
    <mergeCell ref="A85:B85"/>
    <mergeCell ref="E87:H87"/>
    <mergeCell ref="B54:B64"/>
    <mergeCell ref="B2:B6"/>
    <mergeCell ref="I90:K90"/>
    <mergeCell ref="I86:K86"/>
    <mergeCell ref="A91:B91"/>
    <mergeCell ref="E84:H84"/>
    <mergeCell ref="A75:A77"/>
    <mergeCell ref="I89:K89"/>
    <mergeCell ref="A52:A53"/>
    <mergeCell ref="I91:K91"/>
    <mergeCell ref="B21:B29"/>
    <mergeCell ref="E90:H90"/>
    <mergeCell ref="E86:H86"/>
    <mergeCell ref="A54:A64"/>
    <mergeCell ref="A35:A38"/>
    <mergeCell ref="A67:A68"/>
    <mergeCell ref="E89:H89"/>
    <mergeCell ref="K2:K6"/>
  </mergeCells>
  <printOptions horizontalCentered="1"/>
  <pageMargins left="0.3" right="0.3" top="0.15" bottom="0.15" header="0" footer="0"/>
  <pageSetup orientation="portrait" paperSize="8" fitToHeight="0" fitToWidth="1"/>
  <rowBreaks count="1" manualBreakCount="1">
    <brk id="78" min="0" max="16383" man="1"/>
  </rowBreaks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2026-03-17T09:07:37Z</dcterms:created>
  <dcterms:modified xmlns:dcterms="http://purl.org/dc/terms/" xmlns:xsi="http://www.w3.org/2001/XMLSchema-instance" xsi:type="dcterms:W3CDTF">2026-04-14T15:25:10Z</dcterms:modified>
  <cp:lastModifiedBy>영민 김</cp:lastModifiedBy>
</cp:coreProperties>
</file>